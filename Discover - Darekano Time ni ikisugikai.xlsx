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onnikan\Desktop\"/>
    </mc:Choice>
  </mc:AlternateContent>
  <xr:revisionPtr revIDLastSave="0" documentId="13_ncr:1_{7A4C37D9-7059-4661-9098-FB3EAF006C12}" xr6:coauthVersionLast="47" xr6:coauthVersionMax="47" xr10:uidLastSave="{00000000-0000-0000-0000-000000000000}"/>
  <bookViews>
    <workbookView xWindow="28680" yWindow="735" windowWidth="29040" windowHeight="15720" xr2:uid="{00000000-000D-0000-FFFF-FFFF00000000}"/>
  </bookViews>
  <sheets>
    <sheet name="sheet1" sheetId="1" r:id="rId1"/>
    <sheet name="Print" sheetId="2" r:id="rId2"/>
  </sheets>
  <definedNames>
    <definedName name="_xlnm.Print_Area" localSheetId="1">Print!$A$1:$S$62</definedName>
    <definedName name="_xlnm.Print_Are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J17" i="1" l="1"/>
  <c r="I12" i="1" l="1"/>
  <c r="J12" i="1" s="1"/>
  <c r="J11" i="1"/>
  <c r="I10" i="1"/>
  <c r="N17" i="1" l="1"/>
  <c r="N10" i="1" l="1"/>
</calcChain>
</file>

<file path=xl/sharedStrings.xml><?xml version="1.0" encoding="utf-8"?>
<sst xmlns="http://schemas.openxmlformats.org/spreadsheetml/2006/main" count="269" uniqueCount="112">
  <si>
    <t>SALES REPORT</t>
  </si>
  <si>
    <t>TITLE</t>
  </si>
  <si>
    <t>NO.OF</t>
  </si>
  <si>
    <t>DATE</t>
  </si>
  <si>
    <t>RETAIL</t>
  </si>
  <si>
    <t>ROYALTY</t>
  </si>
  <si>
    <t>AMOUNT</t>
  </si>
  <si>
    <t>ADVANCED</t>
  </si>
  <si>
    <t>PREVIOUS</t>
  </si>
  <si>
    <t>BALANCE</t>
  </si>
  <si>
    <t>PERIOD</t>
  </si>
  <si>
    <t>COPIES</t>
  </si>
  <si>
    <t>PRINTED</t>
  </si>
  <si>
    <t>PRICE</t>
  </si>
  <si>
    <t>RATE</t>
  </si>
  <si>
    <t>(THB)</t>
  </si>
  <si>
    <t>PAYMENT</t>
  </si>
  <si>
    <t>PAID</t>
  </si>
  <si>
    <t>UNSOLD</t>
  </si>
  <si>
    <t xml:space="preserve"> PRINTED</t>
  </si>
  <si>
    <t>SOLD</t>
  </si>
  <si>
    <t xml:space="preserve"> </t>
  </si>
  <si>
    <t>THB</t>
  </si>
  <si>
    <t>USD</t>
  </si>
  <si>
    <t>Dif</t>
  </si>
  <si>
    <t>พิมพ์</t>
  </si>
  <si>
    <t>เลขJOB</t>
  </si>
  <si>
    <t>ยอดยกมา</t>
  </si>
  <si>
    <t>ยอดขาย</t>
  </si>
  <si>
    <t>คงเหลือ</t>
  </si>
  <si>
    <t>รวมยอดจ่าย</t>
  </si>
  <si>
    <t>หักจ่าย</t>
  </si>
  <si>
    <t>ยอดจ่าย</t>
  </si>
  <si>
    <t>ค่าลิขสิทธิ์</t>
  </si>
  <si>
    <t>อ้างถึง</t>
  </si>
  <si>
    <t>ครั้งที่</t>
  </si>
  <si>
    <t>No.</t>
  </si>
  <si>
    <t>(เล่ม)</t>
  </si>
  <si>
    <t>(บาท)</t>
  </si>
  <si>
    <t>ล่วงหน้า</t>
  </si>
  <si>
    <t>BAHT</t>
  </si>
  <si>
    <t>ก่อน vat</t>
  </si>
  <si>
    <t>21732 ก่อน Vat</t>
  </si>
  <si>
    <t>Stock</t>
  </si>
  <si>
    <t>JPY</t>
  </si>
  <si>
    <t>Of net</t>
  </si>
  <si>
    <t>Receipt</t>
  </si>
  <si>
    <t>Amarin Corporations Public Company Limited (Thailand)</t>
  </si>
  <si>
    <t xml:space="preserve">ANNUAL           x   BI-ANNUAL   </t>
  </si>
  <si>
    <t>Discover 21, Inc.</t>
  </si>
  <si>
    <t>"DAREKANO TAME” NI IKISUGINAI</t>
  </si>
  <si>
    <t>ช่างมันเถอะอีกไม่กี่ปีเราก็เป็นเถ้าธุลีกันหมดแล้ว</t>
  </si>
  <si>
    <t>(E-Book)</t>
  </si>
  <si>
    <t>67/AK-014</t>
  </si>
  <si>
    <t>67/AK-018</t>
  </si>
  <si>
    <t>2 เพิ่ม</t>
  </si>
  <si>
    <t>67/AK-022</t>
  </si>
  <si>
    <t>67/AK-033</t>
  </si>
  <si>
    <t>JVAC2402-0118</t>
  </si>
  <si>
    <t>JVAC2403-0130</t>
  </si>
  <si>
    <t>JVAC2404-0140</t>
  </si>
  <si>
    <t>JVAC2406-0060</t>
  </si>
  <si>
    <t>EB/66-585</t>
  </si>
  <si>
    <t>*  at the exchange rate of JPY 1 per 0.229141 THB on 30/6/2025</t>
  </si>
  <si>
    <t>*  at the exchange rate of JPY 1 per 0.205195 THB on 30/6/2025</t>
  </si>
  <si>
    <t>(JPY)</t>
  </si>
  <si>
    <t>ISBN</t>
  </si>
  <si>
    <t>Sell off : 13/6/2029</t>
  </si>
  <si>
    <t>EXD. 13/12/2028</t>
  </si>
  <si>
    <t>For the Period Ended June 30, 2025</t>
  </si>
  <si>
    <t>For the Period Ended December 31, 2025</t>
  </si>
  <si>
    <t>JOB</t>
  </si>
  <si>
    <t>ข้อมูลทางบัญชี</t>
  </si>
  <si>
    <t>Stock (เล่ม)</t>
  </si>
  <si>
    <t>DIF</t>
  </si>
  <si>
    <t>จ่าย</t>
  </si>
  <si>
    <t>Acount</t>
  </si>
  <si>
    <t>A9</t>
  </si>
  <si>
    <t>B9</t>
  </si>
  <si>
    <t>Excel ไฟล์ item (data book) คอลัมน์ D</t>
  </si>
  <si>
    <t>C9</t>
  </si>
  <si>
    <t>Excel ไฟล์ item (data book) คอลัมน์ A</t>
  </si>
  <si>
    <t>D9</t>
  </si>
  <si>
    <t>Excel ไฟล์ item (data book) คอลัมน์ J</t>
  </si>
  <si>
    <t>E9</t>
  </si>
  <si>
    <t>F9</t>
  </si>
  <si>
    <t>Excel ไฟล์ item (data book) คอลัมน์ C โดยบอกแค่ เดือน/ปี</t>
  </si>
  <si>
    <t>Excel ไฟล์ item (data book) คอลัมน์ H</t>
  </si>
  <si>
    <t>G9</t>
  </si>
  <si>
    <t>Excel ไฟล์ RptRightAcc_AN Western, RptRightAcc_AN2 Asia, RptRightAcc_BI Western, RptRightAcc_BI2 Asia คอลัมน์ O - คอลัมน์ Y ตามเงื่อนไขที่กำหนด</t>
  </si>
  <si>
    <t>H9</t>
  </si>
  <si>
    <t>Excel ไฟล์ ยอดขาย-ฝากขาย คอลัมน์ K และ Excel ยอดขาย-ขายขาด คอลัมน์ P</t>
  </si>
  <si>
    <t>I9</t>
  </si>
  <si>
    <t>J9</t>
  </si>
  <si>
    <t>K9</t>
  </si>
  <si>
    <t>Excel ไฟล์ RptRightAcc_AN Western, RptRightAcc_AN2 Asia, RptRightAcc_BI Western, RptRightAcc_BI2 Asia คอลัมน์ N</t>
  </si>
  <si>
    <t>L9</t>
  </si>
  <si>
    <t>ชื่ออังกฤษ : Excel ไฟล์ RptRightAcc_AN Western, RptRightAcc_AN2 Asia, RptRightAcc_BI Western, RptRightAcc_BI2 Asia คอลัมน์ J และ AY
ชื่อไทย : Excel ไฟล์ item (data book) คอลัมน์ B</t>
  </si>
  <si>
    <t>M9</t>
  </si>
  <si>
    <t>Excel ไฟล์ ยอดจ่าย ค่าลิขสิทธิ์ต่างประเทศ 2025 คอลัมน์ X</t>
  </si>
  <si>
    <t>N9</t>
  </si>
  <si>
    <t>O9</t>
  </si>
  <si>
    <t>ใส่สูตร H10 คูณ G10 คูณ F10</t>
  </si>
  <si>
    <t>ใส่สูตร I10 หาร อัตราแลกเปลี่ยน H22</t>
  </si>
  <si>
    <t>Excel ไฟล์ Report ปีก่อน คอลัมน์ N</t>
  </si>
  <si>
    <t xml:space="preserve">*  at the exchange rate of JPY 1 Yen </t>
  </si>
  <si>
    <t>ใส่สูตร
รายงานครั้งแรก : K10 ลบ J บวก M
หากรายงานต่อจากปีเก่า : L10 ลบ J บวก M</t>
  </si>
  <si>
    <t>ใส่สูตร
รายงานครั้งแรก : D10 ลบ H10
หากรายงานต่อจากปีก่อน Excel ไฟล์ Report ปี 2025.2 คอลัมน์ O ลบ H10</t>
  </si>
  <si>
    <t>P9</t>
  </si>
  <si>
    <t>Excel ไฟล์ Stock คงเหลือ คอลัมน์ L</t>
  </si>
  <si>
    <t>Q10</t>
  </si>
  <si>
    <t>ใส่สูตร P10 ลบ 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</si>
</sst>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[$-409]mmm\-yy;@"/>
    <numFmt numFmtId="167" formatCode="_-* #,##0.0000_-;\-* #,##0.0000_-;_-* &quot;-&quot;??_-;_-@_-"/>
    <numFmt numFmtId="168" formatCode="m/d/yy;@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4"/>
      <name val="Cambria"/>
      <family val="1"/>
    </font>
    <font>
      <b/>
      <sz val="24"/>
      <color indexed="8"/>
      <name val="Cambria"/>
      <family val="1"/>
    </font>
    <font>
      <b/>
      <sz val="24"/>
      <color indexed="10"/>
      <name val="Cambria"/>
      <family val="1"/>
    </font>
    <font>
      <sz val="10"/>
      <name val="CG Times"/>
      <family val="1"/>
    </font>
    <font>
      <sz val="14"/>
      <name val="Cordia New"/>
      <family val="2"/>
    </font>
    <font>
      <b/>
      <sz val="12"/>
      <name val="Cambria"/>
      <family val="1"/>
    </font>
    <font>
      <b/>
      <sz val="12"/>
      <color indexed="63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sz val="12"/>
      <color indexed="63"/>
      <name val="Cambria"/>
      <family val="1"/>
    </font>
    <font>
      <b/>
      <sz val="11"/>
      <color rgb="FFFF0000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rgb="FFFF0000"/>
      <name val="Cambria"/>
      <family val="1"/>
    </font>
    <font>
      <sz val="12"/>
      <color rgb="FFFF0000"/>
      <name val="Cambria"/>
      <family val="1"/>
    </font>
    <font>
      <sz val="1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4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31">
    <xf numFmtId="0" fontId="0" fillId="0" borderId="0" xfId="0"/>
    <xf numFmtId="0" fontId="7" fillId="2" borderId="1" xfId="0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8" fillId="2" borderId="1" xfId="0" applyNumberFormat="1" applyFont="1" applyFill="1" applyBorder="1" applyAlignment="1">
      <alignment horizontal="center"/>
    </xf>
    <xf numFmtId="164" fontId="8" fillId="2" borderId="3" xfId="1" applyNumberFormat="1" applyFont="1" applyFill="1" applyBorder="1" applyAlignment="1">
      <alignment horizontal="center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8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 applyProtection="1">
      <alignment horizontal="center"/>
      <protection locked="0"/>
    </xf>
    <xf numFmtId="15" fontId="7" fillId="2" borderId="3" xfId="0" applyNumberFormat="1" applyFont="1" applyFill="1" applyBorder="1" applyAlignment="1" applyProtection="1">
      <alignment horizontal="center"/>
      <protection locked="0"/>
    </xf>
    <xf numFmtId="164" fontId="8" fillId="2" borderId="5" xfId="1" applyNumberFormat="1" applyFont="1" applyFill="1" applyBorder="1" applyAlignment="1">
      <alignment horizontal="center"/>
    </xf>
    <xf numFmtId="164" fontId="7" fillId="2" borderId="6" xfId="1" applyNumberFormat="1" applyFont="1" applyFill="1" applyBorder="1" applyAlignment="1" applyProtection="1">
      <alignment horizontal="center"/>
      <protection locked="0"/>
    </xf>
    <xf numFmtId="164" fontId="8" fillId="2" borderId="5" xfId="0" applyNumberFormat="1" applyFont="1" applyFill="1" applyBorder="1" applyAlignment="1">
      <alignment horizontal="center"/>
    </xf>
    <xf numFmtId="0" fontId="7" fillId="2" borderId="5" xfId="0" applyFont="1" applyFill="1" applyBorder="1" applyAlignment="1" applyProtection="1">
      <alignment horizontal="center"/>
      <protection locked="0"/>
    </xf>
    <xf numFmtId="15" fontId="7" fillId="2" borderId="5" xfId="0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9" fillId="2" borderId="1" xfId="0" applyFont="1" applyFill="1" applyBorder="1" applyAlignment="1">
      <alignment horizontal="center"/>
    </xf>
    <xf numFmtId="2" fontId="11" fillId="2" borderId="3" xfId="0" applyNumberFormat="1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/>
    <xf numFmtId="0" fontId="15" fillId="0" borderId="5" xfId="0" applyFont="1" applyBorder="1"/>
    <xf numFmtId="0" fontId="15" fillId="0" borderId="8" xfId="0" applyFont="1" applyBorder="1"/>
    <xf numFmtId="0" fontId="15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5" fontId="16" fillId="0" borderId="1" xfId="0" applyNumberFormat="1" applyFont="1" applyBorder="1" applyAlignment="1" applyProtection="1">
      <alignment horizontal="left"/>
      <protection locked="0"/>
    </xf>
    <xf numFmtId="165" fontId="16" fillId="0" borderId="1" xfId="1" applyNumberFormat="1" applyFont="1" applyFill="1" applyBorder="1" applyAlignment="1" applyProtection="1">
      <alignment horizontal="center"/>
      <protection locked="0"/>
    </xf>
    <xf numFmtId="166" fontId="16" fillId="0" borderId="4" xfId="2" applyNumberFormat="1" applyFont="1" applyFill="1" applyBorder="1" applyAlignment="1" applyProtection="1">
      <alignment horizontal="center"/>
      <protection locked="0"/>
    </xf>
    <xf numFmtId="43" fontId="16" fillId="0" borderId="1" xfId="1" applyFont="1" applyFill="1" applyBorder="1" applyAlignment="1" applyProtection="1">
      <alignment horizontal="center"/>
      <protection locked="0"/>
    </xf>
    <xf numFmtId="9" fontId="16" fillId="3" borderId="1" xfId="3" applyFont="1" applyFill="1" applyBorder="1" applyAlignment="1">
      <alignment horizontal="center"/>
    </xf>
    <xf numFmtId="165" fontId="16" fillId="0" borderId="1" xfId="1" applyNumberFormat="1" applyFont="1" applyBorder="1" applyAlignment="1" applyProtection="1">
      <alignment horizontal="center"/>
      <protection locked="0"/>
    </xf>
    <xf numFmtId="43" fontId="16" fillId="0" borderId="1" xfId="1" applyFont="1" applyBorder="1" applyAlignment="1" applyProtection="1">
      <alignment horizontal="center"/>
      <protection locked="0"/>
    </xf>
    <xf numFmtId="43" fontId="16" fillId="0" borderId="7" xfId="1" applyFont="1" applyBorder="1" applyAlignment="1" applyProtection="1">
      <alignment horizontal="center"/>
      <protection locked="0"/>
    </xf>
    <xf numFmtId="43" fontId="16" fillId="0" borderId="7" xfId="1" applyFont="1" applyFill="1" applyBorder="1" applyAlignment="1" applyProtection="1">
      <alignment horizontal="center"/>
      <protection locked="0"/>
    </xf>
    <xf numFmtId="15" fontId="16" fillId="0" borderId="3" xfId="0" applyNumberFormat="1" applyFont="1" applyBorder="1" applyAlignment="1" applyProtection="1">
      <alignment horizontal="left"/>
      <protection locked="0"/>
    </xf>
    <xf numFmtId="165" fontId="16" fillId="0" borderId="3" xfId="1" applyNumberFormat="1" applyFont="1" applyFill="1" applyBorder="1" applyAlignment="1" applyProtection="1">
      <alignment horizontal="center"/>
      <protection locked="0"/>
    </xf>
    <xf numFmtId="43" fontId="16" fillId="0" borderId="3" xfId="1" applyFont="1" applyFill="1" applyBorder="1" applyAlignment="1" applyProtection="1">
      <alignment horizontal="center"/>
      <protection locked="0"/>
    </xf>
    <xf numFmtId="9" fontId="16" fillId="3" borderId="7" xfId="3" applyFont="1" applyFill="1" applyBorder="1" applyAlignment="1">
      <alignment horizontal="center"/>
    </xf>
    <xf numFmtId="165" fontId="16" fillId="0" borderId="4" xfId="1" applyNumberFormat="1" applyFont="1" applyBorder="1" applyAlignment="1" applyProtection="1">
      <alignment horizontal="center"/>
      <protection locked="0"/>
    </xf>
    <xf numFmtId="43" fontId="16" fillId="0" borderId="3" xfId="1" applyFont="1" applyBorder="1" applyAlignment="1" applyProtection="1">
      <alignment horizontal="center"/>
      <protection locked="0"/>
    </xf>
    <xf numFmtId="165" fontId="16" fillId="0" borderId="3" xfId="1" applyNumberFormat="1" applyFont="1" applyBorder="1" applyAlignment="1" applyProtection="1">
      <alignment horizontal="center"/>
      <protection locked="0"/>
    </xf>
    <xf numFmtId="43" fontId="16" fillId="0" borderId="4" xfId="1" applyFont="1" applyBorder="1" applyAlignment="1" applyProtection="1">
      <alignment horizontal="center"/>
      <protection locked="0"/>
    </xf>
    <xf numFmtId="165" fontId="16" fillId="0" borderId="0" xfId="1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>
      <alignment horizontal="center"/>
    </xf>
    <xf numFmtId="0" fontId="15" fillId="0" borderId="1" xfId="0" applyFont="1" applyBorder="1"/>
    <xf numFmtId="43" fontId="13" fillId="0" borderId="3" xfId="1" applyFont="1" applyBorder="1" applyAlignment="1" applyProtection="1">
      <alignment horizontal="left"/>
      <protection locked="0"/>
    </xf>
    <xf numFmtId="0" fontId="14" fillId="0" borderId="5" xfId="0" applyFont="1" applyBorder="1"/>
    <xf numFmtId="0" fontId="17" fillId="0" borderId="0" xfId="0" applyFont="1"/>
    <xf numFmtId="1" fontId="0" fillId="0" borderId="0" xfId="0" applyNumberFormat="1"/>
    <xf numFmtId="0" fontId="13" fillId="4" borderId="3" xfId="0" applyFont="1" applyFill="1" applyBorder="1" applyAlignment="1">
      <alignment horizontal="left" vertical="top"/>
    </xf>
    <xf numFmtId="0" fontId="13" fillId="4" borderId="3" xfId="0" applyFont="1" applyFill="1" applyBorder="1" applyAlignment="1">
      <alignment horizontal="left"/>
    </xf>
    <xf numFmtId="0" fontId="13" fillId="4" borderId="5" xfId="0" applyFont="1" applyFill="1" applyBorder="1" applyAlignment="1">
      <alignment horizontal="left"/>
    </xf>
    <xf numFmtId="43" fontId="15" fillId="0" borderId="0" xfId="0" applyNumberFormat="1" applyFont="1"/>
    <xf numFmtId="0" fontId="16" fillId="0" borderId="9" xfId="0" applyFont="1" applyBorder="1" applyAlignment="1">
      <alignment horizontal="center"/>
    </xf>
    <xf numFmtId="43" fontId="16" fillId="0" borderId="0" xfId="1" applyFont="1" applyBorder="1" applyAlignment="1" applyProtection="1">
      <alignment horizontal="center"/>
      <protection locked="0"/>
    </xf>
    <xf numFmtId="165" fontId="5" fillId="0" borderId="2" xfId="1" applyNumberFormat="1" applyFont="1" applyBorder="1" applyAlignment="1" applyProtection="1">
      <alignment horizontal="center"/>
      <protection locked="0"/>
    </xf>
    <xf numFmtId="0" fontId="18" fillId="0" borderId="0" xfId="0" applyFont="1"/>
    <xf numFmtId="0" fontId="20" fillId="0" borderId="0" xfId="0" applyFont="1"/>
    <xf numFmtId="43" fontId="19" fillId="0" borderId="7" xfId="1" applyFont="1" applyFill="1" applyBorder="1" applyAlignment="1" applyProtection="1">
      <alignment horizontal="center"/>
      <protection locked="0"/>
    </xf>
    <xf numFmtId="43" fontId="19" fillId="0" borderId="7" xfId="1" applyFont="1" applyBorder="1" applyAlignment="1" applyProtection="1">
      <alignment horizontal="center"/>
      <protection locked="0"/>
    </xf>
    <xf numFmtId="0" fontId="19" fillId="0" borderId="9" xfId="0" applyFont="1" applyBorder="1" applyAlignment="1">
      <alignment horizontal="center"/>
    </xf>
    <xf numFmtId="0" fontId="19" fillId="0" borderId="1" xfId="0" applyFont="1" applyBorder="1"/>
    <xf numFmtId="43" fontId="16" fillId="0" borderId="10" xfId="1" applyFont="1" applyFill="1" applyBorder="1" applyAlignment="1" applyProtection="1">
      <alignment horizontal="center"/>
      <protection locked="0"/>
    </xf>
    <xf numFmtId="165" fontId="16" fillId="0" borderId="1" xfId="1" applyNumberFormat="1" applyFont="1" applyFill="1" applyBorder="1" applyAlignment="1" applyProtection="1">
      <alignment horizontal="right"/>
      <protection locked="0"/>
    </xf>
    <xf numFmtId="165" fontId="16" fillId="0" borderId="3" xfId="1" applyNumberFormat="1" applyFont="1" applyBorder="1" applyAlignment="1" applyProtection="1">
      <alignment horizontal="right"/>
      <protection locked="0"/>
    </xf>
    <xf numFmtId="165" fontId="16" fillId="0" borderId="7" xfId="1" applyNumberFormat="1" applyFont="1" applyBorder="1" applyAlignment="1" applyProtection="1">
      <alignment horizontal="right"/>
      <protection locked="0"/>
    </xf>
    <xf numFmtId="165" fontId="16" fillId="0" borderId="1" xfId="0" applyNumberFormat="1" applyFont="1" applyBorder="1"/>
    <xf numFmtId="165" fontId="16" fillId="0" borderId="3" xfId="0" applyNumberFormat="1" applyFont="1" applyBorder="1"/>
    <xf numFmtId="165" fontId="16" fillId="0" borderId="7" xfId="0" applyNumberFormat="1" applyFont="1" applyBorder="1"/>
    <xf numFmtId="43" fontId="15" fillId="0" borderId="1" xfId="0" applyNumberFormat="1" applyFont="1" applyBorder="1"/>
    <xf numFmtId="43" fontId="15" fillId="0" borderId="2" xfId="0" applyNumberFormat="1" applyFont="1" applyBorder="1"/>
    <xf numFmtId="0" fontId="15" fillId="0" borderId="8" xfId="0" applyFont="1" applyBorder="1" applyAlignment="1">
      <alignment horizontal="center"/>
    </xf>
    <xf numFmtId="43" fontId="16" fillId="0" borderId="0" xfId="4" applyFont="1" applyFill="1" applyBorder="1"/>
    <xf numFmtId="43" fontId="16" fillId="0" borderId="7" xfId="1" applyFont="1" applyFill="1" applyBorder="1"/>
    <xf numFmtId="167" fontId="16" fillId="0" borderId="7" xfId="1" applyNumberFormat="1" applyFont="1" applyFill="1" applyBorder="1" applyAlignment="1" applyProtection="1">
      <alignment horizontal="center"/>
      <protection locked="0"/>
    </xf>
    <xf numFmtId="43" fontId="16" fillId="0" borderId="0" xfId="1" applyFont="1" applyFill="1" applyBorder="1" applyAlignment="1" applyProtection="1">
      <alignment horizontal="center"/>
      <protection locked="0"/>
    </xf>
    <xf numFmtId="43" fontId="16" fillId="0" borderId="3" xfId="1" applyFont="1" applyFill="1" applyBorder="1" applyAlignment="1" applyProtection="1">
      <alignment horizontal="left"/>
      <protection locked="0"/>
    </xf>
    <xf numFmtId="165" fontId="15" fillId="0" borderId="1" xfId="0" applyNumberFormat="1" applyFont="1" applyBorder="1"/>
    <xf numFmtId="0" fontId="14" fillId="6" borderId="1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43" fontId="12" fillId="5" borderId="7" xfId="1" applyFont="1" applyFill="1" applyBorder="1" applyAlignment="1" applyProtection="1">
      <alignment horizontal="center"/>
      <protection locked="0"/>
    </xf>
    <xf numFmtId="43" fontId="12" fillId="0" borderId="3" xfId="1" applyFont="1" applyBorder="1" applyAlignment="1" applyProtection="1">
      <alignment horizontal="left"/>
      <protection locked="0"/>
    </xf>
    <xf numFmtId="0" fontId="12" fillId="0" borderId="5" xfId="0" applyFont="1" applyBorder="1"/>
    <xf numFmtId="43" fontId="15" fillId="0" borderId="1" xfId="1" applyFont="1" applyBorder="1"/>
    <xf numFmtId="0" fontId="14" fillId="7" borderId="1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1" fontId="21" fillId="0" borderId="1" xfId="0" applyNumberFormat="1" applyFont="1" applyBorder="1"/>
    <xf numFmtId="1" fontId="21" fillId="0" borderId="3" xfId="0" applyNumberFormat="1" applyFont="1" applyBorder="1"/>
    <xf numFmtId="0" fontId="15" fillId="0" borderId="3" xfId="0" applyFont="1" applyBorder="1"/>
    <xf numFmtId="1" fontId="15" fillId="0" borderId="3" xfId="0" applyNumberFormat="1" applyFont="1" applyBorder="1"/>
    <xf numFmtId="168" fontId="19" fillId="0" borderId="5" xfId="0" applyNumberFormat="1" applyFont="1" applyBorder="1"/>
    <xf numFmtId="1" fontId="15" fillId="0" borderId="5" xfId="0" applyNumberFormat="1" applyFont="1" applyBorder="1"/>
    <xf numFmtId="43" fontId="7" fillId="2" borderId="5" xfId="1" applyFont="1" applyFill="1" applyBorder="1" applyAlignment="1" applyProtection="1">
      <alignment horizontal="center"/>
      <protection locked="0"/>
    </xf>
    <xf numFmtId="43" fontId="5" fillId="0" borderId="2" xfId="1" applyFont="1" applyBorder="1" applyAlignment="1" applyProtection="1">
      <alignment horizontal="center"/>
      <protection locked="0"/>
    </xf>
    <xf numFmtId="43" fontId="15" fillId="0" borderId="0" xfId="1" applyFont="1"/>
    <xf numFmtId="165" fontId="15" fillId="0" borderId="0" xfId="1" applyNumberFormat="1" applyFont="1"/>
    <xf numFmtId="165" fontId="15" fillId="0" borderId="5" xfId="1" applyNumberFormat="1" applyFont="1" applyBorder="1"/>
    <xf numFmtId="0" fontId="13" fillId="0" borderId="0" xfId="0" applyFont="1"/>
    <xf numFmtId="165" fontId="15" fillId="0" borderId="3" xfId="1" applyNumberFormat="1" applyFont="1" applyBorder="1"/>
    <xf numFmtId="165" fontId="9" fillId="8" borderId="1" xfId="1" applyNumberFormat="1" applyFont="1" applyFill="1" applyBorder="1" applyAlignment="1">
      <alignment horizontal="center"/>
    </xf>
    <xf numFmtId="165" fontId="9" fillId="8" borderId="1" xfId="1" applyNumberFormat="1" applyFont="1" applyFill="1" applyBorder="1" applyAlignment="1" applyProtection="1">
      <alignment horizontal="center"/>
      <protection locked="0"/>
    </xf>
    <xf numFmtId="0" fontId="15" fillId="6" borderId="3" xfId="0" applyFont="1" applyFill="1" applyBorder="1" applyAlignment="1">
      <alignment horizontal="center"/>
    </xf>
    <xf numFmtId="165" fontId="9" fillId="8" borderId="3" xfId="1" applyNumberFormat="1" applyFont="1" applyFill="1" applyBorder="1" applyAlignment="1">
      <alignment horizontal="center"/>
    </xf>
    <xf numFmtId="165" fontId="9" fillId="8" borderId="3" xfId="1" applyNumberFormat="1" applyFont="1" applyFill="1" applyBorder="1" applyAlignment="1" applyProtection="1">
      <alignment horizontal="center"/>
      <protection locked="0"/>
    </xf>
    <xf numFmtId="165" fontId="9" fillId="8" borderId="5" xfId="1" applyNumberFormat="1" applyFont="1" applyFill="1" applyBorder="1" applyAlignment="1" applyProtection="1">
      <alignment horizontal="center"/>
      <protection locked="0"/>
    </xf>
    <xf numFmtId="43" fontId="0" fillId="0" borderId="0" xfId="1" applyFont="1"/>
    <xf numFmtId="43" fontId="9" fillId="8" borderId="1" xfId="1" applyFont="1" applyFill="1" applyBorder="1" applyAlignment="1" applyProtection="1">
      <alignment horizontal="center"/>
      <protection locked="0"/>
    </xf>
    <xf numFmtId="43" fontId="9" fillId="8" borderId="3" xfId="1" applyFont="1" applyFill="1" applyBorder="1" applyAlignment="1">
      <alignment horizontal="center"/>
    </xf>
    <xf numFmtId="43" fontId="15" fillId="6" borderId="3" xfId="1" applyFont="1" applyFill="1" applyBorder="1" applyAlignment="1">
      <alignment horizontal="center"/>
    </xf>
    <xf numFmtId="43" fontId="9" fillId="8" borderId="5" xfId="1" applyFont="1" applyFill="1" applyBorder="1" applyAlignment="1" applyProtection="1">
      <alignment horizontal="center"/>
      <protection locked="0"/>
    </xf>
    <xf numFmtId="43" fontId="15" fillId="0" borderId="9" xfId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43" fontId="0" fillId="0" borderId="0" xfId="1" applyFont="1" applyAlignment="1">
      <alignment horizontal="left" vertical="top" wrapText="1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left"/>
    </xf>
    <xf numFmtId="43" fontId="22" fillId="0" borderId="0" xfId="1" applyFont="1"/>
    <xf numFmtId="0" fontId="23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8">
    <cellStyle name="Comma" xfId="1" builtinId="3"/>
    <cellStyle name="Comma 10 2 2 2" xfId="4" xr:uid="{00000000-0005-0000-0000-000001000000}"/>
    <cellStyle name="Comma 10 2 2 2 2" xfId="7" xr:uid="{00000000-0005-0000-0000-000002000000}"/>
    <cellStyle name="Comma 2" xfId="5" xr:uid="{00000000-0005-0000-0000-000003000000}"/>
    <cellStyle name="Currency" xfId="2" builtinId="4"/>
    <cellStyle name="Currency 2" xfId="6" xr:uid="{00000000-0005-0000-0000-000005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6"/>
  <sheetViews>
    <sheetView tabSelected="1" topLeftCell="A7" zoomScale="80" zoomScaleNormal="80" workbookViewId="0">
      <selection activeCell="K32" sqref="K32"/>
    </sheetView>
  </sheetViews>
  <sheetFormatPr defaultRowHeight="14.4"/>
  <cols>
    <col min="1" max="1" width="27.33203125" customWidth="1"/>
    <col min="2" max="2" width="27" style="51" customWidth="1"/>
    <col min="3" max="3" width="45.6640625" customWidth="1"/>
    <col min="4" max="13" width="16.5546875" customWidth="1"/>
    <col min="14" max="14" width="16.5546875" style="50" customWidth="1"/>
    <col min="15" max="15" width="16.5546875" customWidth="1"/>
    <col min="16" max="17" width="16.5546875" style="59" customWidth="1"/>
    <col min="18" max="18" width="16.5546875" style="110" customWidth="1"/>
  </cols>
  <sheetData>
    <row r="1" spans="1:18" ht="30">
      <c r="C1" s="117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8" ht="30">
      <c r="C2" s="116" t="s">
        <v>49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8" ht="30">
      <c r="C3" s="116" t="s">
        <v>47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1:18" ht="30">
      <c r="C4" s="117" t="s">
        <v>48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</row>
    <row r="5" spans="1:18" ht="30">
      <c r="C5" s="118" t="s">
        <v>69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60"/>
    </row>
    <row r="6" spans="1:18" s="15" customFormat="1" ht="15.75" customHeight="1">
      <c r="A6" s="88"/>
      <c r="B6" s="81"/>
      <c r="C6" s="16" t="s">
        <v>1</v>
      </c>
      <c r="D6" s="2" t="s">
        <v>2</v>
      </c>
      <c r="E6" s="3" t="s">
        <v>3</v>
      </c>
      <c r="F6" s="3" t="s">
        <v>4</v>
      </c>
      <c r="G6" s="4" t="s">
        <v>5</v>
      </c>
      <c r="H6" s="1" t="s">
        <v>2</v>
      </c>
      <c r="I6" s="1" t="s">
        <v>6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" t="s">
        <v>2</v>
      </c>
      <c r="P6" s="104" t="s">
        <v>73</v>
      </c>
      <c r="Q6" s="105" t="s">
        <v>74</v>
      </c>
      <c r="R6" s="111" t="s">
        <v>75</v>
      </c>
    </row>
    <row r="7" spans="1:18" s="15" customFormat="1" ht="15">
      <c r="A7" s="89"/>
      <c r="B7" s="82"/>
      <c r="C7" s="17"/>
      <c r="D7" s="5" t="s">
        <v>11</v>
      </c>
      <c r="E7" s="6" t="s">
        <v>12</v>
      </c>
      <c r="F7" s="6" t="s">
        <v>13</v>
      </c>
      <c r="G7" s="7" t="s">
        <v>14</v>
      </c>
      <c r="H7" s="8" t="s">
        <v>11</v>
      </c>
      <c r="I7" s="9" t="s">
        <v>15</v>
      </c>
      <c r="J7" s="9" t="s">
        <v>65</v>
      </c>
      <c r="K7" s="8" t="s">
        <v>16</v>
      </c>
      <c r="L7" s="8" t="s">
        <v>9</v>
      </c>
      <c r="M7" s="8" t="s">
        <v>17</v>
      </c>
      <c r="N7" s="8" t="s">
        <v>9</v>
      </c>
      <c r="O7" s="8" t="s">
        <v>18</v>
      </c>
      <c r="P7" s="106" t="s">
        <v>29</v>
      </c>
      <c r="Q7" s="107" t="s">
        <v>73</v>
      </c>
      <c r="R7" s="112" t="s">
        <v>33</v>
      </c>
    </row>
    <row r="8" spans="1:18" s="15" customFormat="1" ht="15">
      <c r="A8" s="89"/>
      <c r="B8" s="82"/>
      <c r="C8" s="17"/>
      <c r="D8" s="5" t="s">
        <v>19</v>
      </c>
      <c r="E8" s="6"/>
      <c r="F8" s="6" t="s">
        <v>15</v>
      </c>
      <c r="G8" s="7"/>
      <c r="H8" s="8" t="s">
        <v>20</v>
      </c>
      <c r="I8" s="9"/>
      <c r="J8" s="9"/>
      <c r="K8" s="9" t="s">
        <v>15</v>
      </c>
      <c r="L8" s="9" t="s">
        <v>15</v>
      </c>
      <c r="M8" s="9" t="s">
        <v>15</v>
      </c>
      <c r="N8" s="9" t="s">
        <v>15</v>
      </c>
      <c r="O8" s="8" t="s">
        <v>11</v>
      </c>
      <c r="P8" s="108" t="s">
        <v>76</v>
      </c>
      <c r="Q8" s="106" t="s">
        <v>29</v>
      </c>
      <c r="R8" s="113"/>
    </row>
    <row r="9" spans="1:18" s="15" customFormat="1" ht="15">
      <c r="A9" s="90" t="s">
        <v>71</v>
      </c>
      <c r="B9" s="83" t="s">
        <v>66</v>
      </c>
      <c r="C9" s="18"/>
      <c r="D9" s="10" t="s">
        <v>21</v>
      </c>
      <c r="E9" s="11"/>
      <c r="F9" s="11" t="s">
        <v>21</v>
      </c>
      <c r="G9" s="12"/>
      <c r="H9" s="13" t="s">
        <v>21</v>
      </c>
      <c r="I9" s="14"/>
      <c r="J9" s="14"/>
      <c r="K9" s="13" t="s">
        <v>21</v>
      </c>
      <c r="L9" s="13" t="s">
        <v>21</v>
      </c>
      <c r="M9" s="13"/>
      <c r="N9" s="13" t="s">
        <v>21</v>
      </c>
      <c r="O9" s="13" t="s">
        <v>21</v>
      </c>
      <c r="P9" s="109"/>
      <c r="Q9" s="109" t="s">
        <v>76</v>
      </c>
      <c r="R9" s="114"/>
    </row>
    <row r="10" spans="1:18" s="23" customFormat="1">
      <c r="A10" s="31" t="s">
        <v>53</v>
      </c>
      <c r="B10" s="91">
        <v>9786161864231</v>
      </c>
      <c r="C10" s="28" t="s">
        <v>50</v>
      </c>
      <c r="D10" s="29">
        <v>9700</v>
      </c>
      <c r="E10" s="30">
        <v>45323</v>
      </c>
      <c r="F10" s="31">
        <v>235</v>
      </c>
      <c r="G10" s="32">
        <v>7.0000000000000007E-2</v>
      </c>
      <c r="H10" s="58">
        <v>0</v>
      </c>
      <c r="I10" s="34">
        <f>H10*G10*F10</f>
        <v>0</v>
      </c>
      <c r="J10" s="35"/>
      <c r="K10" s="35">
        <v>114633</v>
      </c>
      <c r="L10" s="35">
        <v>-366562.4</v>
      </c>
      <c r="M10" s="36">
        <v>366562.4</v>
      </c>
      <c r="N10" s="84">
        <f>L10-I10-I11-I12+M10</f>
        <v>-111399.40000000002</v>
      </c>
      <c r="O10" s="33">
        <v>0</v>
      </c>
      <c r="P10" s="61"/>
      <c r="Q10" s="61"/>
      <c r="R10" s="36">
        <v>0</v>
      </c>
    </row>
    <row r="11" spans="1:18" s="23" customFormat="1">
      <c r="A11" s="42" t="s">
        <v>54</v>
      </c>
      <c r="B11" s="92">
        <v>9786161864231</v>
      </c>
      <c r="C11" s="37" t="s">
        <v>51</v>
      </c>
      <c r="D11" s="38">
        <v>26200</v>
      </c>
      <c r="E11" s="30">
        <v>45383</v>
      </c>
      <c r="F11" s="39">
        <v>235</v>
      </c>
      <c r="G11" s="40">
        <v>7.0000000000000007E-2</v>
      </c>
      <c r="H11" s="41">
        <v>6648</v>
      </c>
      <c r="I11" s="42">
        <f>H11*G11*F11</f>
        <v>109359.60000000002</v>
      </c>
      <c r="J11" s="35">
        <f>I11/0.229141</f>
        <v>477258.98027851852</v>
      </c>
      <c r="K11" s="35" t="s">
        <v>22</v>
      </c>
      <c r="L11" s="42"/>
      <c r="M11" s="35"/>
      <c r="N11" s="85"/>
      <c r="O11" s="43">
        <v>0</v>
      </c>
      <c r="P11" s="62"/>
      <c r="Q11" s="62"/>
      <c r="R11" s="35"/>
    </row>
    <row r="12" spans="1:18" s="23" customFormat="1">
      <c r="A12" s="42" t="s">
        <v>56</v>
      </c>
      <c r="B12" s="92">
        <v>9786161864231</v>
      </c>
      <c r="C12" s="37"/>
      <c r="D12" s="43">
        <v>13700</v>
      </c>
      <c r="E12" s="30">
        <v>45444</v>
      </c>
      <c r="F12" s="42">
        <v>235</v>
      </c>
      <c r="G12" s="40">
        <v>7.0000000000000007E-2</v>
      </c>
      <c r="H12" s="41">
        <v>124</v>
      </c>
      <c r="I12" s="42">
        <f>H12*G12*F12</f>
        <v>2039.8000000000004</v>
      </c>
      <c r="J12" s="35">
        <f>I12/0.229141</f>
        <v>8901.9424721023315</v>
      </c>
      <c r="K12" s="35">
        <v>470000</v>
      </c>
      <c r="L12" s="42"/>
      <c r="M12" s="35"/>
      <c r="N12" s="85"/>
      <c r="O12" s="43">
        <v>13576</v>
      </c>
      <c r="P12" s="62"/>
      <c r="Q12" s="62"/>
      <c r="R12" s="35"/>
    </row>
    <row r="13" spans="1:18" s="23" customFormat="1">
      <c r="A13" s="42" t="s">
        <v>57</v>
      </c>
      <c r="B13" s="92">
        <v>9786161864231</v>
      </c>
      <c r="C13" s="37"/>
      <c r="D13" s="43"/>
      <c r="E13" s="30"/>
      <c r="F13" s="42"/>
      <c r="G13" s="40"/>
      <c r="H13" s="45"/>
      <c r="I13" s="42"/>
      <c r="J13" s="35"/>
      <c r="K13" s="35" t="s">
        <v>44</v>
      </c>
      <c r="L13" s="42"/>
      <c r="M13" s="35"/>
      <c r="N13" s="85"/>
      <c r="O13" s="43"/>
      <c r="P13" s="62"/>
      <c r="Q13" s="62"/>
      <c r="R13" s="35"/>
    </row>
    <row r="14" spans="1:18" s="23" customFormat="1" ht="13.8">
      <c r="A14" s="93"/>
      <c r="B14" s="94"/>
      <c r="C14" s="37"/>
      <c r="D14" s="43"/>
      <c r="E14" s="30"/>
      <c r="F14" s="42"/>
      <c r="G14" s="40"/>
      <c r="H14" s="45"/>
      <c r="I14" s="42"/>
      <c r="J14" s="35"/>
      <c r="K14" s="35"/>
      <c r="L14" s="42"/>
      <c r="M14" s="35"/>
      <c r="N14" s="85"/>
      <c r="O14" s="43"/>
      <c r="P14" s="62"/>
      <c r="Q14" s="62"/>
      <c r="R14" s="35"/>
    </row>
    <row r="15" spans="1:18" s="23" customFormat="1" ht="13.8">
      <c r="A15" s="93"/>
      <c r="B15" s="94"/>
      <c r="C15" s="37"/>
      <c r="D15" s="43"/>
      <c r="E15" s="30"/>
      <c r="F15" s="42"/>
      <c r="G15" s="40"/>
      <c r="H15" s="45"/>
      <c r="I15" s="42"/>
      <c r="J15" s="35"/>
      <c r="K15" s="35"/>
      <c r="L15" s="42"/>
      <c r="M15" s="35"/>
      <c r="N15" s="85"/>
      <c r="O15" s="43"/>
      <c r="P15" s="62"/>
      <c r="Q15" s="62"/>
      <c r="R15" s="35"/>
    </row>
    <row r="16" spans="1:18" s="23" customFormat="1" ht="13.8">
      <c r="A16" s="24"/>
      <c r="B16" s="95" t="s">
        <v>67</v>
      </c>
      <c r="C16" s="24"/>
      <c r="D16" s="24"/>
      <c r="E16" s="24"/>
      <c r="F16" s="24"/>
      <c r="G16" s="24"/>
      <c r="H16" s="25"/>
      <c r="I16" s="26"/>
      <c r="J16" s="27"/>
      <c r="K16" s="56"/>
      <c r="L16" s="26"/>
      <c r="M16" s="27"/>
      <c r="N16" s="86"/>
      <c r="O16" s="24"/>
      <c r="P16" s="63"/>
      <c r="Q16" s="63"/>
      <c r="R16" s="115"/>
    </row>
    <row r="17" spans="1:18" s="23" customFormat="1">
      <c r="A17" s="47" t="s">
        <v>62</v>
      </c>
      <c r="B17" s="91"/>
      <c r="C17" s="28" t="s">
        <v>50</v>
      </c>
      <c r="D17" s="29"/>
      <c r="E17" s="30"/>
      <c r="F17" s="31"/>
      <c r="G17" s="32">
        <v>0.25</v>
      </c>
      <c r="H17" s="33">
        <v>1145</v>
      </c>
      <c r="I17" s="42">
        <v>24688.44</v>
      </c>
      <c r="J17" s="35">
        <f>I17/0.229141</f>
        <v>107743.44181093737</v>
      </c>
      <c r="K17" s="35">
        <v>12195</v>
      </c>
      <c r="L17" s="36">
        <v>-40398.42</v>
      </c>
      <c r="M17" s="87">
        <v>40398.42</v>
      </c>
      <c r="N17" s="84">
        <f>L17-I17+M17</f>
        <v>-24688.440000000002</v>
      </c>
      <c r="O17" s="33"/>
      <c r="P17" s="64"/>
      <c r="Q17" s="64"/>
      <c r="R17" s="87">
        <v>0</v>
      </c>
    </row>
    <row r="18" spans="1:18" s="23" customFormat="1">
      <c r="A18" s="42"/>
      <c r="B18" s="92"/>
      <c r="C18" s="37" t="s">
        <v>51</v>
      </c>
      <c r="D18" s="38"/>
      <c r="E18" s="30"/>
      <c r="F18" s="39"/>
      <c r="G18" s="40" t="s">
        <v>45</v>
      </c>
      <c r="H18" s="41"/>
      <c r="I18" s="42"/>
      <c r="J18" s="42"/>
      <c r="K18" s="42" t="s">
        <v>22</v>
      </c>
      <c r="L18" s="42"/>
      <c r="M18" s="35"/>
      <c r="N18" s="85"/>
      <c r="O18" s="43"/>
      <c r="P18" s="62"/>
      <c r="Q18" s="62"/>
      <c r="R18" s="35"/>
    </row>
    <row r="19" spans="1:18" s="23" customFormat="1">
      <c r="A19" s="42"/>
      <c r="B19" s="92"/>
      <c r="C19" s="37" t="s">
        <v>52</v>
      </c>
      <c r="D19" s="43"/>
      <c r="E19" s="30"/>
      <c r="F19" s="42"/>
      <c r="G19" s="40" t="s">
        <v>46</v>
      </c>
      <c r="H19" s="41"/>
      <c r="I19" s="44"/>
      <c r="J19" s="44"/>
      <c r="K19" s="42">
        <v>50000</v>
      </c>
      <c r="L19" s="42"/>
      <c r="M19" s="35"/>
      <c r="N19" s="48"/>
      <c r="O19" s="43"/>
      <c r="P19" s="62"/>
      <c r="Q19" s="62"/>
      <c r="R19" s="35"/>
    </row>
    <row r="20" spans="1:18" s="23" customFormat="1">
      <c r="A20" s="42"/>
      <c r="B20" s="92"/>
      <c r="C20" s="37"/>
      <c r="D20" s="43"/>
      <c r="E20" s="30"/>
      <c r="F20" s="42"/>
      <c r="G20" s="40"/>
      <c r="H20" s="45"/>
      <c r="I20" s="44"/>
      <c r="J20" s="44"/>
      <c r="K20" s="42" t="s">
        <v>44</v>
      </c>
      <c r="L20" s="42"/>
      <c r="M20" s="35"/>
      <c r="N20" s="48"/>
      <c r="O20" s="43"/>
      <c r="P20" s="62"/>
      <c r="Q20" s="62"/>
      <c r="R20" s="35"/>
    </row>
    <row r="21" spans="1:18" s="23" customFormat="1" ht="13.8">
      <c r="A21" s="24"/>
      <c r="B21" s="96" t="s">
        <v>68</v>
      </c>
      <c r="C21" s="24"/>
      <c r="D21" s="24"/>
      <c r="E21" s="24"/>
      <c r="F21" s="24"/>
      <c r="G21" s="24"/>
      <c r="H21" s="25"/>
      <c r="I21" s="26"/>
      <c r="J21" s="26"/>
      <c r="K21" s="46"/>
      <c r="L21" s="26"/>
      <c r="M21" s="27"/>
      <c r="N21" s="49"/>
      <c r="O21" s="24"/>
      <c r="P21" s="63"/>
      <c r="Q21" s="63"/>
      <c r="R21" s="115"/>
    </row>
    <row r="22" spans="1:18">
      <c r="F22" t="s">
        <v>105</v>
      </c>
      <c r="H22" s="122">
        <v>0.22914100000000001</v>
      </c>
      <c r="I22" t="s">
        <v>22</v>
      </c>
    </row>
    <row r="25" spans="1:18" s="125" customFormat="1">
      <c r="A25" s="125" t="s">
        <v>77</v>
      </c>
      <c r="B25" s="126" t="s">
        <v>78</v>
      </c>
      <c r="C25" s="127" t="s">
        <v>80</v>
      </c>
      <c r="D25" s="125" t="s">
        <v>82</v>
      </c>
      <c r="E25" s="125" t="s">
        <v>84</v>
      </c>
      <c r="F25" s="125" t="s">
        <v>85</v>
      </c>
      <c r="G25" s="125" t="s">
        <v>88</v>
      </c>
      <c r="H25" s="125" t="s">
        <v>90</v>
      </c>
      <c r="I25" s="125" t="s">
        <v>92</v>
      </c>
      <c r="J25" s="125" t="s">
        <v>93</v>
      </c>
      <c r="K25" s="125" t="s">
        <v>94</v>
      </c>
      <c r="L25" s="125" t="s">
        <v>96</v>
      </c>
      <c r="M25" s="125" t="s">
        <v>98</v>
      </c>
      <c r="N25" s="125" t="s">
        <v>100</v>
      </c>
      <c r="O25" s="125" t="s">
        <v>101</v>
      </c>
      <c r="P25" s="125" t="s">
        <v>108</v>
      </c>
      <c r="Q25" s="125" t="s">
        <v>110</v>
      </c>
      <c r="R25" s="128"/>
    </row>
    <row r="26" spans="1:18" s="123" customFormat="1" ht="158.4">
      <c r="A26" s="123" t="s">
        <v>81</v>
      </c>
      <c r="B26" s="123" t="s">
        <v>79</v>
      </c>
      <c r="C26" s="123" t="s">
        <v>97</v>
      </c>
      <c r="D26" s="123" t="s">
        <v>83</v>
      </c>
      <c r="E26" s="123" t="s">
        <v>86</v>
      </c>
      <c r="F26" s="123" t="s">
        <v>87</v>
      </c>
      <c r="G26" s="123" t="s">
        <v>89</v>
      </c>
      <c r="H26" s="123" t="s">
        <v>91</v>
      </c>
      <c r="I26" s="123" t="s">
        <v>102</v>
      </c>
      <c r="J26" s="123" t="s">
        <v>103</v>
      </c>
      <c r="K26" s="123" t="s">
        <v>95</v>
      </c>
      <c r="L26" s="123" t="s">
        <v>104</v>
      </c>
      <c r="M26" s="123" t="s">
        <v>99</v>
      </c>
      <c r="N26" s="129" t="s">
        <v>106</v>
      </c>
      <c r="O26" s="129" t="s">
        <v>107</v>
      </c>
      <c r="P26" s="130" t="s">
        <v>109</v>
      </c>
      <c r="Q26" s="130" t="s">
        <v>111</v>
      </c>
      <c r="R26" s="124"/>
    </row>
  </sheetData>
  <mergeCells count="5">
    <mergeCell ref="C3:O3"/>
    <mergeCell ref="C1:O1"/>
    <mergeCell ref="C4:O4"/>
    <mergeCell ref="C5:O5"/>
    <mergeCell ref="C2:O2"/>
  </mergeCells>
  <phoneticPr fontId="24" type="noConversion"/>
  <pageMargins left="0.25" right="0.25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2"/>
  <sheetViews>
    <sheetView topLeftCell="A37" workbookViewId="0">
      <selection activeCell="A61" sqref="A61"/>
    </sheetView>
  </sheetViews>
  <sheetFormatPr defaultRowHeight="14.4"/>
  <cols>
    <col min="1" max="1" width="42.5546875" bestFit="1" customWidth="1"/>
    <col min="2" max="5" width="12.5546875" customWidth="1"/>
    <col min="6" max="6" width="13.44140625" customWidth="1"/>
    <col min="7" max="11" width="12.5546875" customWidth="1"/>
    <col min="12" max="12" width="15" customWidth="1"/>
    <col min="13" max="13" width="12.5546875" customWidth="1"/>
    <col min="14" max="14" width="16.88671875" bestFit="1" customWidth="1"/>
    <col min="15" max="16" width="12.6640625" customWidth="1"/>
    <col min="17" max="17" width="16.44140625" bestFit="1" customWidth="1"/>
    <col min="18" max="18" width="12.44140625" bestFit="1" customWidth="1"/>
  </cols>
  <sheetData>
    <row r="1" spans="1:13" ht="30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30">
      <c r="A2" s="116" t="s">
        <v>49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30">
      <c r="A3" s="116" t="s">
        <v>47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</row>
    <row r="4" spans="1:13" ht="30">
      <c r="A4" s="117" t="s">
        <v>48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</row>
    <row r="5" spans="1:13" ht="30">
      <c r="A5" s="118" t="s">
        <v>69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1:13" ht="15.6">
      <c r="A6" s="16" t="s">
        <v>1</v>
      </c>
      <c r="B6" s="2" t="s">
        <v>2</v>
      </c>
      <c r="C6" s="3" t="s">
        <v>3</v>
      </c>
      <c r="D6" s="3" t="s">
        <v>4</v>
      </c>
      <c r="E6" s="4" t="s">
        <v>5</v>
      </c>
      <c r="F6" s="1" t="s">
        <v>2</v>
      </c>
      <c r="G6" s="1" t="s">
        <v>6</v>
      </c>
      <c r="H6" s="1"/>
      <c r="I6" s="1" t="s">
        <v>7</v>
      </c>
      <c r="J6" s="1" t="s">
        <v>8</v>
      </c>
      <c r="K6" s="1" t="s">
        <v>9</v>
      </c>
      <c r="L6" s="1" t="s">
        <v>10</v>
      </c>
      <c r="M6" s="1" t="s">
        <v>2</v>
      </c>
    </row>
    <row r="7" spans="1:13" ht="15.6">
      <c r="A7" s="17"/>
      <c r="B7" s="5" t="s">
        <v>11</v>
      </c>
      <c r="C7" s="6" t="s">
        <v>12</v>
      </c>
      <c r="D7" s="6" t="s">
        <v>13</v>
      </c>
      <c r="E7" s="7" t="s">
        <v>14</v>
      </c>
      <c r="F7" s="8" t="s">
        <v>11</v>
      </c>
      <c r="G7" s="9" t="s">
        <v>15</v>
      </c>
      <c r="H7" s="9"/>
      <c r="I7" s="8" t="s">
        <v>16</v>
      </c>
      <c r="J7" s="8" t="s">
        <v>9</v>
      </c>
      <c r="K7" s="8" t="s">
        <v>17</v>
      </c>
      <c r="L7" s="8" t="s">
        <v>9</v>
      </c>
      <c r="M7" s="8" t="s">
        <v>18</v>
      </c>
    </row>
    <row r="8" spans="1:13" ht="15.6">
      <c r="A8" s="17"/>
      <c r="B8" s="5" t="s">
        <v>19</v>
      </c>
      <c r="C8" s="6"/>
      <c r="D8" s="6" t="s">
        <v>15</v>
      </c>
      <c r="E8" s="7"/>
      <c r="F8" s="8" t="s">
        <v>20</v>
      </c>
      <c r="G8" s="9"/>
      <c r="H8" s="9"/>
      <c r="I8" s="9" t="s">
        <v>15</v>
      </c>
      <c r="J8" s="9" t="s">
        <v>15</v>
      </c>
      <c r="K8" s="9" t="s">
        <v>15</v>
      </c>
      <c r="L8" s="9" t="s">
        <v>15</v>
      </c>
      <c r="M8" s="8" t="s">
        <v>11</v>
      </c>
    </row>
    <row r="9" spans="1:13" ht="15.6">
      <c r="A9" s="18"/>
      <c r="B9" s="10" t="s">
        <v>21</v>
      </c>
      <c r="C9" s="11"/>
      <c r="D9" s="11" t="s">
        <v>21</v>
      </c>
      <c r="E9" s="12"/>
      <c r="F9" s="13" t="s">
        <v>21</v>
      </c>
      <c r="G9" s="14"/>
      <c r="H9" s="14"/>
      <c r="I9" s="13" t="s">
        <v>21</v>
      </c>
      <c r="J9" s="13" t="s">
        <v>21</v>
      </c>
      <c r="K9" s="13"/>
      <c r="L9" s="13" t="s">
        <v>21</v>
      </c>
      <c r="M9" s="13" t="s">
        <v>21</v>
      </c>
    </row>
    <row r="10" spans="1:13">
      <c r="A10" s="28" t="s">
        <v>50</v>
      </c>
      <c r="B10" s="29">
        <v>9700</v>
      </c>
      <c r="C10" s="30">
        <v>45323</v>
      </c>
      <c r="D10" s="31">
        <v>235</v>
      </c>
      <c r="E10" s="32">
        <v>7.0000000000000007E-2</v>
      </c>
      <c r="F10" s="58">
        <v>0</v>
      </c>
      <c r="G10" s="34">
        <v>0</v>
      </c>
      <c r="H10" s="35"/>
      <c r="I10" s="35">
        <v>114633</v>
      </c>
      <c r="J10" s="35">
        <v>-366562.4</v>
      </c>
      <c r="K10" s="36">
        <v>366562.4</v>
      </c>
      <c r="L10" s="84">
        <v>-111399.40000000002</v>
      </c>
      <c r="M10" s="33">
        <v>0</v>
      </c>
    </row>
    <row r="11" spans="1:13">
      <c r="A11" s="37" t="s">
        <v>51</v>
      </c>
      <c r="B11" s="38">
        <v>26200</v>
      </c>
      <c r="C11" s="30">
        <v>45383</v>
      </c>
      <c r="D11" s="39">
        <v>235</v>
      </c>
      <c r="E11" s="40">
        <v>7.0000000000000007E-2</v>
      </c>
      <c r="F11" s="41">
        <v>6648</v>
      </c>
      <c r="G11" s="42">
        <v>109359.60000000002</v>
      </c>
      <c r="H11" s="35"/>
      <c r="I11" s="35" t="s">
        <v>22</v>
      </c>
      <c r="J11" s="42"/>
      <c r="K11" s="35"/>
      <c r="L11" s="85"/>
      <c r="M11" s="43">
        <v>0</v>
      </c>
    </row>
    <row r="12" spans="1:13">
      <c r="A12" s="37"/>
      <c r="B12" s="43">
        <v>13700</v>
      </c>
      <c r="C12" s="30">
        <v>45444</v>
      </c>
      <c r="D12" s="42">
        <v>235</v>
      </c>
      <c r="E12" s="40">
        <v>7.0000000000000007E-2</v>
      </c>
      <c r="F12" s="41">
        <v>124</v>
      </c>
      <c r="G12" s="42">
        <v>2039.8000000000004</v>
      </c>
      <c r="H12" s="35"/>
      <c r="I12" s="35">
        <v>470000</v>
      </c>
      <c r="J12" s="42"/>
      <c r="K12" s="35"/>
      <c r="L12" s="85"/>
      <c r="M12" s="43">
        <v>13576</v>
      </c>
    </row>
    <row r="13" spans="1:13">
      <c r="A13" s="37"/>
      <c r="B13" s="43"/>
      <c r="C13" s="30"/>
      <c r="D13" s="42"/>
      <c r="E13" s="40"/>
      <c r="F13" s="45"/>
      <c r="G13" s="42"/>
      <c r="H13" s="35"/>
      <c r="I13" s="35" t="s">
        <v>44</v>
      </c>
      <c r="J13" s="42"/>
      <c r="K13" s="35"/>
      <c r="L13" s="85"/>
      <c r="M13" s="43"/>
    </row>
    <row r="14" spans="1:13">
      <c r="A14" s="37"/>
      <c r="B14" s="43"/>
      <c r="C14" s="30"/>
      <c r="D14" s="42"/>
      <c r="E14" s="40"/>
      <c r="F14" s="45"/>
      <c r="G14" s="42"/>
      <c r="H14" s="35"/>
      <c r="I14" s="35"/>
      <c r="J14" s="42"/>
      <c r="K14" s="35"/>
      <c r="L14" s="85"/>
      <c r="M14" s="43"/>
    </row>
    <row r="15" spans="1:13">
      <c r="A15" s="37"/>
      <c r="B15" s="43"/>
      <c r="C15" s="30"/>
      <c r="D15" s="42"/>
      <c r="E15" s="40"/>
      <c r="F15" s="45"/>
      <c r="G15" s="42"/>
      <c r="H15" s="35"/>
      <c r="I15" s="35"/>
      <c r="J15" s="42"/>
      <c r="K15" s="35"/>
      <c r="L15" s="85"/>
      <c r="M15" s="43"/>
    </row>
    <row r="16" spans="1:13">
      <c r="A16" s="24"/>
      <c r="B16" s="24"/>
      <c r="C16" s="24"/>
      <c r="D16" s="24"/>
      <c r="E16" s="24"/>
      <c r="F16" s="25"/>
      <c r="G16" s="26"/>
      <c r="H16" s="27"/>
      <c r="I16" s="56"/>
      <c r="J16" s="26"/>
      <c r="K16" s="27"/>
      <c r="L16" s="86"/>
      <c r="M16" s="24"/>
    </row>
    <row r="17" spans="1:13">
      <c r="A17" s="28" t="s">
        <v>50</v>
      </c>
      <c r="B17" s="29"/>
      <c r="C17" s="30"/>
      <c r="D17" s="31"/>
      <c r="E17" s="32">
        <v>0.25</v>
      </c>
      <c r="F17" s="33">
        <v>1145</v>
      </c>
      <c r="G17" s="42">
        <v>24688.44</v>
      </c>
      <c r="H17" s="35">
        <v>107743.44181093737</v>
      </c>
      <c r="I17" s="35">
        <v>12195</v>
      </c>
      <c r="J17" s="36">
        <v>-40398.42</v>
      </c>
      <c r="K17" s="87">
        <v>40398.42</v>
      </c>
      <c r="L17" s="84">
        <v>-24688.440000000002</v>
      </c>
      <c r="M17" s="33"/>
    </row>
    <row r="18" spans="1:13">
      <c r="A18" s="37" t="s">
        <v>51</v>
      </c>
      <c r="B18" s="38"/>
      <c r="C18" s="30"/>
      <c r="D18" s="39"/>
      <c r="E18" s="40" t="s">
        <v>45</v>
      </c>
      <c r="F18" s="41"/>
      <c r="G18" s="42"/>
      <c r="H18" s="42"/>
      <c r="I18" s="42" t="s">
        <v>22</v>
      </c>
      <c r="J18" s="42"/>
      <c r="K18" s="35"/>
      <c r="L18" s="85"/>
      <c r="M18" s="43"/>
    </row>
    <row r="19" spans="1:13">
      <c r="A19" s="37" t="s">
        <v>52</v>
      </c>
      <c r="B19" s="43"/>
      <c r="C19" s="30"/>
      <c r="D19" s="42"/>
      <c r="E19" s="40" t="s">
        <v>46</v>
      </c>
      <c r="F19" s="41"/>
      <c r="G19" s="44"/>
      <c r="H19" s="44"/>
      <c r="I19" s="42">
        <v>50000</v>
      </c>
      <c r="J19" s="42"/>
      <c r="K19" s="35"/>
      <c r="L19" s="48"/>
      <c r="M19" s="43"/>
    </row>
    <row r="20" spans="1:13">
      <c r="A20" s="37"/>
      <c r="B20" s="43"/>
      <c r="C20" s="30"/>
      <c r="D20" s="42"/>
      <c r="E20" s="40"/>
      <c r="F20" s="45"/>
      <c r="G20" s="44"/>
      <c r="H20" s="44"/>
      <c r="I20" s="42" t="s">
        <v>44</v>
      </c>
      <c r="J20" s="42"/>
      <c r="K20" s="35"/>
      <c r="L20" s="48"/>
      <c r="M20" s="43"/>
    </row>
    <row r="21" spans="1:13">
      <c r="A21" s="24"/>
      <c r="B21" s="24"/>
      <c r="C21" s="24"/>
      <c r="D21" s="24"/>
      <c r="E21" s="24"/>
      <c r="F21" s="25"/>
      <c r="G21" s="26"/>
      <c r="H21" s="26"/>
      <c r="I21" s="46"/>
      <c r="J21" s="26"/>
      <c r="K21" s="27"/>
      <c r="L21" s="49"/>
      <c r="M21" s="24"/>
    </row>
    <row r="22" spans="1:13">
      <c r="D22" t="s">
        <v>63</v>
      </c>
      <c r="L22" s="50"/>
    </row>
    <row r="23" spans="1:13" ht="30">
      <c r="A23" s="117" t="s">
        <v>0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</row>
    <row r="24" spans="1:13" ht="30">
      <c r="A24" s="116" t="s">
        <v>49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</row>
    <row r="25" spans="1:13" ht="30">
      <c r="A25" s="116" t="s">
        <v>47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</row>
    <row r="26" spans="1:13" ht="30">
      <c r="A26" s="117" t="s">
        <v>48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</row>
    <row r="27" spans="1:13" ht="30">
      <c r="A27" s="118" t="s">
        <v>70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</row>
    <row r="28" spans="1:13" ht="15.6">
      <c r="A28" s="16" t="s">
        <v>1</v>
      </c>
      <c r="B28" s="2" t="s">
        <v>2</v>
      </c>
      <c r="C28" s="3" t="s">
        <v>3</v>
      </c>
      <c r="D28" s="3" t="s">
        <v>4</v>
      </c>
      <c r="E28" s="4" t="s">
        <v>5</v>
      </c>
      <c r="F28" s="1" t="s">
        <v>2</v>
      </c>
      <c r="G28" s="1" t="s">
        <v>6</v>
      </c>
      <c r="H28" s="1" t="s">
        <v>6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2</v>
      </c>
    </row>
    <row r="29" spans="1:13" ht="15.6">
      <c r="A29" s="17"/>
      <c r="B29" s="5" t="s">
        <v>11</v>
      </c>
      <c r="C29" s="6" t="s">
        <v>12</v>
      </c>
      <c r="D29" s="6" t="s">
        <v>13</v>
      </c>
      <c r="E29" s="7" t="s">
        <v>14</v>
      </c>
      <c r="F29" s="8" t="s">
        <v>11</v>
      </c>
      <c r="G29" s="9" t="s">
        <v>15</v>
      </c>
      <c r="H29" s="9" t="s">
        <v>65</v>
      </c>
      <c r="I29" s="8" t="s">
        <v>16</v>
      </c>
      <c r="J29" s="8" t="s">
        <v>9</v>
      </c>
      <c r="K29" s="8" t="s">
        <v>17</v>
      </c>
      <c r="L29" s="8" t="s">
        <v>9</v>
      </c>
      <c r="M29" s="8" t="s">
        <v>18</v>
      </c>
    </row>
    <row r="30" spans="1:13" ht="15.6">
      <c r="A30" s="17"/>
      <c r="B30" s="5" t="s">
        <v>19</v>
      </c>
      <c r="C30" s="6"/>
      <c r="D30" s="6" t="s">
        <v>15</v>
      </c>
      <c r="E30" s="7"/>
      <c r="F30" s="8" t="s">
        <v>20</v>
      </c>
      <c r="G30" s="9"/>
      <c r="H30" s="9"/>
      <c r="I30" s="9" t="s">
        <v>15</v>
      </c>
      <c r="J30" s="9" t="s">
        <v>15</v>
      </c>
      <c r="K30" s="9" t="s">
        <v>15</v>
      </c>
      <c r="L30" s="9" t="s">
        <v>15</v>
      </c>
      <c r="M30" s="8" t="s">
        <v>11</v>
      </c>
    </row>
    <row r="31" spans="1:13" ht="15.6">
      <c r="A31" s="18"/>
      <c r="B31" s="10" t="s">
        <v>21</v>
      </c>
      <c r="C31" s="11"/>
      <c r="D31" s="11" t="s">
        <v>21</v>
      </c>
      <c r="E31" s="12"/>
      <c r="F31" s="97" t="s">
        <v>21</v>
      </c>
      <c r="G31" s="97"/>
      <c r="H31" s="97"/>
      <c r="I31" s="13" t="s">
        <v>21</v>
      </c>
      <c r="J31" s="13" t="s">
        <v>21</v>
      </c>
      <c r="K31" s="13"/>
      <c r="L31" s="13" t="s">
        <v>21</v>
      </c>
      <c r="M31" s="13" t="s">
        <v>21</v>
      </c>
    </row>
    <row r="32" spans="1:13">
      <c r="A32" s="28" t="s">
        <v>50</v>
      </c>
      <c r="B32" s="29">
        <v>9700</v>
      </c>
      <c r="C32" s="30">
        <v>45323</v>
      </c>
      <c r="D32" s="31">
        <v>235</v>
      </c>
      <c r="E32" s="32">
        <v>7.0000000000000007E-2</v>
      </c>
      <c r="F32" s="98">
        <v>0</v>
      </c>
      <c r="G32" s="34">
        <v>0</v>
      </c>
      <c r="H32" s="35">
        <v>0</v>
      </c>
      <c r="I32" s="35">
        <v>114633</v>
      </c>
      <c r="J32" s="35">
        <v>-111399.40000000002</v>
      </c>
      <c r="K32" s="36"/>
      <c r="L32" s="84">
        <v>-172149.25000000003</v>
      </c>
      <c r="M32" s="33">
        <v>0</v>
      </c>
    </row>
    <row r="33" spans="1:19">
      <c r="A33" s="37" t="s">
        <v>51</v>
      </c>
      <c r="B33" s="38">
        <v>8500</v>
      </c>
      <c r="C33" s="30">
        <v>45383</v>
      </c>
      <c r="D33" s="39">
        <v>235</v>
      </c>
      <c r="E33" s="40">
        <v>7.0000000000000007E-2</v>
      </c>
      <c r="F33" s="44">
        <v>0</v>
      </c>
      <c r="G33" s="42">
        <v>0</v>
      </c>
      <c r="H33" s="35">
        <v>0</v>
      </c>
      <c r="I33" s="35" t="s">
        <v>22</v>
      </c>
      <c r="J33" s="42"/>
      <c r="K33" s="35"/>
      <c r="L33" s="85"/>
      <c r="M33" s="43">
        <v>0</v>
      </c>
    </row>
    <row r="34" spans="1:19">
      <c r="A34" s="37"/>
      <c r="B34" s="100">
        <v>17700</v>
      </c>
      <c r="C34" s="30">
        <v>45383</v>
      </c>
      <c r="D34" s="39">
        <v>235</v>
      </c>
      <c r="E34" s="40">
        <v>7.0000000000000007E-2</v>
      </c>
      <c r="F34" s="99">
        <v>0</v>
      </c>
      <c r="G34" s="99">
        <v>0</v>
      </c>
      <c r="H34" s="99">
        <v>0</v>
      </c>
      <c r="I34" s="35">
        <v>470000</v>
      </c>
      <c r="J34" s="42"/>
      <c r="K34" s="35"/>
      <c r="L34" s="85"/>
      <c r="M34" s="103">
        <v>0</v>
      </c>
    </row>
    <row r="35" spans="1:19">
      <c r="A35" s="37"/>
      <c r="B35" s="43">
        <v>13700</v>
      </c>
      <c r="C35" s="30">
        <v>45444</v>
      </c>
      <c r="D35" s="42">
        <v>235</v>
      </c>
      <c r="E35" s="40">
        <v>7.0000000000000007E-2</v>
      </c>
      <c r="F35" s="41">
        <v>3693</v>
      </c>
      <c r="G35" s="42">
        <v>60749.850000000013</v>
      </c>
      <c r="H35" s="35">
        <v>296059.11450084072</v>
      </c>
      <c r="I35" s="35" t="s">
        <v>44</v>
      </c>
      <c r="J35" s="42"/>
      <c r="K35" s="35"/>
      <c r="L35" s="85"/>
      <c r="M35" s="43">
        <v>9883</v>
      </c>
    </row>
    <row r="36" spans="1:19">
      <c r="A36" s="37"/>
      <c r="B36" s="43"/>
      <c r="C36" s="30"/>
      <c r="D36" s="42"/>
      <c r="E36" s="40"/>
      <c r="F36" s="45"/>
      <c r="G36" s="42"/>
      <c r="H36" s="35"/>
      <c r="I36" s="35"/>
      <c r="J36" s="42"/>
      <c r="K36" s="35"/>
      <c r="L36" s="85"/>
      <c r="M36" s="43"/>
    </row>
    <row r="37" spans="1:19">
      <c r="A37" s="37"/>
      <c r="B37" s="43"/>
      <c r="C37" s="30"/>
      <c r="D37" s="42"/>
      <c r="E37" s="40"/>
      <c r="F37" s="45"/>
      <c r="G37" s="42"/>
      <c r="H37" s="35"/>
      <c r="I37" s="35"/>
      <c r="J37" s="42"/>
      <c r="K37" s="35"/>
      <c r="L37" s="85"/>
      <c r="M37" s="43"/>
    </row>
    <row r="38" spans="1:19">
      <c r="A38" s="24"/>
      <c r="B38" s="24"/>
      <c r="C38" s="24"/>
      <c r="D38" s="24"/>
      <c r="E38" s="24"/>
      <c r="F38" s="25"/>
      <c r="G38" s="26"/>
      <c r="H38" s="27"/>
      <c r="I38" s="56"/>
      <c r="J38" s="26"/>
      <c r="K38" s="27"/>
      <c r="L38" s="86"/>
      <c r="M38" s="101"/>
    </row>
    <row r="39" spans="1:19">
      <c r="A39" s="28" t="s">
        <v>50</v>
      </c>
      <c r="B39" s="29"/>
      <c r="C39" s="30"/>
      <c r="D39" s="31"/>
      <c r="E39" s="32">
        <v>0.25</v>
      </c>
      <c r="F39" s="33">
        <v>698</v>
      </c>
      <c r="G39" s="42">
        <v>14832.95</v>
      </c>
      <c r="H39" s="35">
        <v>72287.092765418274</v>
      </c>
      <c r="I39" s="35">
        <v>12195</v>
      </c>
      <c r="J39" s="36">
        <v>-24688.440000000002</v>
      </c>
      <c r="K39" s="47"/>
      <c r="L39" s="84">
        <v>-39521.39</v>
      </c>
      <c r="M39" s="33"/>
    </row>
    <row r="40" spans="1:19">
      <c r="A40" s="37" t="s">
        <v>51</v>
      </c>
      <c r="B40" s="38"/>
      <c r="C40" s="30"/>
      <c r="D40" s="39"/>
      <c r="E40" s="40" t="s">
        <v>45</v>
      </c>
      <c r="F40" s="41"/>
      <c r="G40" s="42"/>
      <c r="H40" s="42"/>
      <c r="I40" s="42" t="s">
        <v>22</v>
      </c>
      <c r="J40" s="42"/>
      <c r="K40" s="35"/>
      <c r="L40" s="85"/>
      <c r="M40" s="43"/>
    </row>
    <row r="41" spans="1:19">
      <c r="A41" s="37" t="s">
        <v>52</v>
      </c>
      <c r="B41" s="43"/>
      <c r="C41" s="30"/>
      <c r="D41" s="42"/>
      <c r="E41" s="40" t="s">
        <v>46</v>
      </c>
      <c r="F41" s="41"/>
      <c r="G41" s="44"/>
      <c r="H41" s="44"/>
      <c r="I41" s="42">
        <v>50000</v>
      </c>
      <c r="J41" s="42"/>
      <c r="K41" s="35"/>
      <c r="L41" s="48"/>
      <c r="M41" s="43"/>
    </row>
    <row r="42" spans="1:19">
      <c r="A42" s="37"/>
      <c r="B42" s="43"/>
      <c r="C42" s="30"/>
      <c r="D42" s="42"/>
      <c r="E42" s="40"/>
      <c r="F42" s="45"/>
      <c r="G42" s="44"/>
      <c r="H42" s="44"/>
      <c r="I42" s="42" t="s">
        <v>44</v>
      </c>
      <c r="J42" s="42"/>
      <c r="K42" s="35"/>
      <c r="L42" s="48"/>
      <c r="M42" s="43"/>
    </row>
    <row r="43" spans="1:19">
      <c r="A43" s="24"/>
      <c r="B43" s="24"/>
      <c r="C43" s="24"/>
      <c r="D43" s="24"/>
      <c r="E43" s="24"/>
      <c r="F43" s="25"/>
      <c r="G43" s="26"/>
      <c r="H43" s="26"/>
      <c r="I43" s="46"/>
      <c r="J43" s="26"/>
      <c r="K43" s="27"/>
      <c r="L43" s="49"/>
      <c r="M43" s="24"/>
    </row>
    <row r="44" spans="1:19">
      <c r="D44" t="s">
        <v>64</v>
      </c>
      <c r="L44" s="50"/>
    </row>
    <row r="46" spans="1:19">
      <c r="C46" s="119" t="s">
        <v>72</v>
      </c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1"/>
    </row>
    <row r="47" spans="1:19" ht="15.6">
      <c r="A47" s="16" t="s">
        <v>1</v>
      </c>
      <c r="B47" s="2" t="s">
        <v>2</v>
      </c>
      <c r="C47" s="19" t="s">
        <v>25</v>
      </c>
      <c r="D47" s="19" t="s">
        <v>26</v>
      </c>
      <c r="E47" s="19" t="s">
        <v>27</v>
      </c>
      <c r="F47" s="19" t="s">
        <v>28</v>
      </c>
      <c r="G47" s="19" t="s">
        <v>29</v>
      </c>
      <c r="H47" s="19" t="s">
        <v>30</v>
      </c>
      <c r="I47" s="19" t="s">
        <v>31</v>
      </c>
      <c r="J47" s="19" t="s">
        <v>32</v>
      </c>
      <c r="K47" s="19" t="s">
        <v>32</v>
      </c>
      <c r="L47" s="19" t="s">
        <v>33</v>
      </c>
      <c r="M47" s="19" t="s">
        <v>29</v>
      </c>
      <c r="N47" s="19" t="s">
        <v>34</v>
      </c>
      <c r="O47" s="15"/>
      <c r="P47" s="102"/>
      <c r="Q47" s="102"/>
      <c r="R47" s="102"/>
      <c r="S47" s="102"/>
    </row>
    <row r="48" spans="1:19" ht="15.6">
      <c r="A48" s="17"/>
      <c r="B48" s="5" t="s">
        <v>11</v>
      </c>
      <c r="C48" s="20" t="s">
        <v>35</v>
      </c>
      <c r="D48" s="20" t="s">
        <v>36</v>
      </c>
      <c r="E48" s="20" t="s">
        <v>37</v>
      </c>
      <c r="F48" s="20" t="s">
        <v>37</v>
      </c>
      <c r="G48" s="20" t="s">
        <v>37</v>
      </c>
      <c r="H48" s="20" t="s">
        <v>38</v>
      </c>
      <c r="I48" s="20" t="s">
        <v>39</v>
      </c>
      <c r="J48" s="20" t="s">
        <v>23</v>
      </c>
      <c r="K48" s="20" t="s">
        <v>40</v>
      </c>
      <c r="L48" s="20"/>
      <c r="M48" s="20">
        <v>21732</v>
      </c>
      <c r="N48" s="52"/>
      <c r="O48" s="102"/>
      <c r="P48" s="102"/>
      <c r="Q48" s="102"/>
      <c r="R48" s="102"/>
      <c r="S48" s="102"/>
    </row>
    <row r="49" spans="1:19" ht="15.6">
      <c r="A49" s="17"/>
      <c r="B49" s="5" t="s">
        <v>19</v>
      </c>
      <c r="C49" s="21"/>
      <c r="D49" s="21"/>
      <c r="E49" s="21"/>
      <c r="F49" s="21">
        <v>2025.1</v>
      </c>
      <c r="G49" s="21"/>
      <c r="H49" s="21"/>
      <c r="I49" s="21"/>
      <c r="J49" s="21"/>
      <c r="K49" s="21"/>
      <c r="L49" s="21"/>
      <c r="M49" s="21"/>
      <c r="N49" s="53"/>
      <c r="O49" s="102"/>
      <c r="P49" s="102"/>
      <c r="Q49" s="102"/>
      <c r="R49" s="102" t="s">
        <v>29</v>
      </c>
      <c r="S49" s="102"/>
    </row>
    <row r="50" spans="1:19" ht="15.6">
      <c r="A50" s="18"/>
      <c r="B50" s="10" t="s">
        <v>21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54"/>
      <c r="O50" s="22" t="s">
        <v>41</v>
      </c>
      <c r="P50" s="22">
        <v>21732</v>
      </c>
      <c r="Q50" s="22" t="s">
        <v>42</v>
      </c>
      <c r="R50" s="22" t="s">
        <v>43</v>
      </c>
      <c r="S50" s="22" t="s">
        <v>24</v>
      </c>
    </row>
    <row r="51" spans="1:19">
      <c r="A51" s="28" t="s">
        <v>50</v>
      </c>
      <c r="B51" s="29">
        <v>9700</v>
      </c>
      <c r="C51" s="66">
        <v>1</v>
      </c>
      <c r="D51" s="65" t="s">
        <v>53</v>
      </c>
      <c r="E51" s="69">
        <v>0</v>
      </c>
      <c r="F51" s="65">
        <v>0</v>
      </c>
      <c r="G51" s="73">
        <v>0</v>
      </c>
      <c r="H51" s="31">
        <v>0</v>
      </c>
      <c r="I51" s="65"/>
      <c r="J51" s="65"/>
      <c r="K51" s="65"/>
      <c r="L51" s="65">
        <v>0</v>
      </c>
      <c r="M51" s="65"/>
      <c r="N51" s="65" t="s">
        <v>58</v>
      </c>
      <c r="O51" s="75">
        <v>0</v>
      </c>
      <c r="P51" s="55">
        <v>0</v>
      </c>
      <c r="Q51" s="75">
        <v>0</v>
      </c>
      <c r="R51" s="75">
        <v>0</v>
      </c>
      <c r="S51" s="75">
        <v>0</v>
      </c>
    </row>
    <row r="52" spans="1:19">
      <c r="A52" s="37" t="s">
        <v>51</v>
      </c>
      <c r="B52" s="38">
        <v>8500</v>
      </c>
      <c r="C52" s="67">
        <v>2</v>
      </c>
      <c r="D52" s="35" t="s">
        <v>54</v>
      </c>
      <c r="E52" s="70">
        <v>0</v>
      </c>
      <c r="F52" s="35">
        <v>0</v>
      </c>
      <c r="G52" s="55">
        <v>0</v>
      </c>
      <c r="H52" s="42">
        <v>0</v>
      </c>
      <c r="I52" s="35"/>
      <c r="J52" s="35"/>
      <c r="K52" s="35"/>
      <c r="L52" s="35">
        <v>0</v>
      </c>
      <c r="M52" s="35"/>
      <c r="N52" s="35" t="s">
        <v>59</v>
      </c>
      <c r="O52" s="75">
        <v>0</v>
      </c>
      <c r="P52" s="55">
        <v>0</v>
      </c>
      <c r="Q52" s="75">
        <v>0</v>
      </c>
      <c r="R52" s="75">
        <v>0</v>
      </c>
      <c r="S52" s="75">
        <v>0</v>
      </c>
    </row>
    <row r="53" spans="1:19">
      <c r="A53" s="37"/>
      <c r="B53" s="100">
        <v>17700</v>
      </c>
      <c r="C53" s="67" t="s">
        <v>55</v>
      </c>
      <c r="D53" s="35" t="s">
        <v>56</v>
      </c>
      <c r="E53" s="70">
        <v>6648</v>
      </c>
      <c r="F53" s="35">
        <v>6648</v>
      </c>
      <c r="G53" s="55">
        <v>0</v>
      </c>
      <c r="H53" s="42">
        <v>109359.60000000002</v>
      </c>
      <c r="I53" s="35"/>
      <c r="J53" s="35"/>
      <c r="K53" s="35"/>
      <c r="L53" s="35">
        <v>109359.60000000002</v>
      </c>
      <c r="M53" s="35">
        <v>117014.77199999998</v>
      </c>
      <c r="N53" s="35" t="s">
        <v>60</v>
      </c>
      <c r="O53" s="75">
        <v>109359.59999999998</v>
      </c>
      <c r="P53" s="55">
        <v>0</v>
      </c>
      <c r="Q53" s="75">
        <v>0</v>
      </c>
      <c r="R53" s="75">
        <v>0</v>
      </c>
      <c r="S53" s="75">
        <v>0</v>
      </c>
    </row>
    <row r="54" spans="1:19">
      <c r="A54" s="37"/>
      <c r="B54" s="43">
        <v>13700</v>
      </c>
      <c r="C54" s="68">
        <v>3</v>
      </c>
      <c r="D54" s="35" t="s">
        <v>57</v>
      </c>
      <c r="E54" s="70">
        <v>13700</v>
      </c>
      <c r="F54" s="35">
        <v>3817</v>
      </c>
      <c r="G54" s="55">
        <v>9883</v>
      </c>
      <c r="H54" s="42">
        <v>62789.65</v>
      </c>
      <c r="I54" s="35"/>
      <c r="J54" s="35"/>
      <c r="K54" s="35"/>
      <c r="L54" s="35">
        <v>62789.65</v>
      </c>
      <c r="M54" s="35">
        <v>241140.55</v>
      </c>
      <c r="N54" s="35" t="s">
        <v>61</v>
      </c>
      <c r="O54" s="75">
        <v>225364.99999999997</v>
      </c>
      <c r="P54" s="55">
        <v>173955.62449999998</v>
      </c>
      <c r="Q54" s="75">
        <v>162575.34999999998</v>
      </c>
      <c r="R54" s="75">
        <v>162575.35</v>
      </c>
      <c r="S54" s="75">
        <v>0</v>
      </c>
    </row>
    <row r="55" spans="1:19">
      <c r="A55" s="37"/>
      <c r="B55" s="43"/>
      <c r="C55" s="68"/>
      <c r="D55" s="35"/>
      <c r="E55" s="71"/>
      <c r="F55" s="35"/>
      <c r="G55" s="57"/>
      <c r="H55" s="42"/>
      <c r="I55" s="35"/>
      <c r="J55" s="35"/>
      <c r="K55" s="35"/>
      <c r="L55" s="35"/>
      <c r="M55" s="35"/>
      <c r="N55" s="35"/>
      <c r="O55" s="23"/>
      <c r="P55" s="23"/>
      <c r="Q55" s="23"/>
      <c r="R55" s="23"/>
      <c r="S55" s="23"/>
    </row>
    <row r="56" spans="1:19">
      <c r="A56" s="37"/>
      <c r="B56" s="43"/>
      <c r="C56" s="68"/>
      <c r="D56" s="36"/>
      <c r="E56" s="76"/>
      <c r="F56" s="77"/>
      <c r="G56" s="78"/>
      <c r="H56" s="79"/>
      <c r="I56" s="35"/>
      <c r="J56" s="35"/>
      <c r="K56" s="35"/>
      <c r="L56" s="35"/>
      <c r="M56" s="35"/>
      <c r="N56" s="35"/>
      <c r="O56" s="23"/>
      <c r="P56" s="23"/>
      <c r="Q56" s="23"/>
      <c r="R56" s="23"/>
      <c r="S56" s="23"/>
    </row>
    <row r="57" spans="1:19">
      <c r="A57" s="24"/>
      <c r="B57" s="24"/>
      <c r="C57" s="27"/>
      <c r="D57" s="27"/>
      <c r="E57" s="27"/>
      <c r="F57" s="27"/>
      <c r="G57" s="74"/>
      <c r="H57" s="26"/>
      <c r="I57" s="27"/>
      <c r="J57" s="27"/>
      <c r="K57" s="27"/>
      <c r="L57" s="27"/>
      <c r="M57" s="27"/>
      <c r="N57" s="27"/>
      <c r="O57" s="23"/>
      <c r="P57" s="23"/>
      <c r="Q57" s="23"/>
      <c r="R57" s="23"/>
      <c r="S57" s="23"/>
    </row>
    <row r="58" spans="1:19">
      <c r="A58" s="28" t="s">
        <v>50</v>
      </c>
      <c r="B58" s="29"/>
      <c r="C58" s="47"/>
      <c r="D58" s="47" t="s">
        <v>62</v>
      </c>
      <c r="E58" s="47"/>
      <c r="F58" s="80">
        <v>1843</v>
      </c>
      <c r="G58" s="47"/>
      <c r="H58" s="72">
        <v>39521.39</v>
      </c>
      <c r="I58" s="47"/>
      <c r="J58" s="47"/>
      <c r="K58" s="47"/>
      <c r="L58" s="72">
        <v>39521.39</v>
      </c>
      <c r="M58" s="47"/>
      <c r="N58" s="47"/>
      <c r="O58" s="23"/>
      <c r="P58" s="23"/>
      <c r="Q58" s="23"/>
      <c r="R58" s="23"/>
      <c r="S58" s="23"/>
    </row>
    <row r="59" spans="1:19">
      <c r="A59" s="37" t="s">
        <v>51</v>
      </c>
      <c r="B59" s="38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23"/>
      <c r="P59" s="23"/>
      <c r="Q59" s="23"/>
      <c r="R59" s="23"/>
      <c r="S59" s="23"/>
    </row>
    <row r="60" spans="1:19">
      <c r="A60" s="37" t="s">
        <v>52</v>
      </c>
      <c r="B60" s="4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23"/>
      <c r="P60" s="23"/>
      <c r="Q60" s="23"/>
      <c r="R60" s="23"/>
      <c r="S60" s="23"/>
    </row>
    <row r="61" spans="1:19">
      <c r="A61" s="37"/>
      <c r="B61" s="43"/>
      <c r="C61" s="35"/>
      <c r="D61" s="36"/>
      <c r="E61" s="36"/>
      <c r="F61" s="36"/>
      <c r="G61" s="36"/>
      <c r="H61" s="79"/>
      <c r="I61" s="35"/>
      <c r="J61" s="35"/>
      <c r="K61" s="35"/>
      <c r="L61" s="35"/>
      <c r="M61" s="35"/>
      <c r="N61" s="35"/>
      <c r="O61" s="23"/>
      <c r="P61" s="23"/>
      <c r="Q61" s="23"/>
      <c r="R61" s="23"/>
      <c r="S61" s="23"/>
    </row>
    <row r="62" spans="1:19">
      <c r="A62" s="24"/>
      <c r="B62" s="24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3"/>
      <c r="P62" s="23"/>
      <c r="Q62" s="23"/>
      <c r="R62" s="23"/>
      <c r="S62" s="23"/>
    </row>
  </sheetData>
  <mergeCells count="11">
    <mergeCell ref="C46:N46"/>
    <mergeCell ref="A23:M23"/>
    <mergeCell ref="A24:M24"/>
    <mergeCell ref="A25:M25"/>
    <mergeCell ref="A26:M26"/>
    <mergeCell ref="A27:M27"/>
    <mergeCell ref="A1:M1"/>
    <mergeCell ref="A2:M2"/>
    <mergeCell ref="A3:M3"/>
    <mergeCell ref="A4:M4"/>
    <mergeCell ref="A5:M5"/>
  </mergeCells>
  <pageMargins left="0.31496062992125984" right="0.70866141732283472" top="0.31496062992125984" bottom="0.47244094488188981" header="0.15748031496062992" footer="0.31496062992125984"/>
  <pageSetup paperSize="9" scale="49" orientation="landscape" r:id="rId1"/>
  <headerFooter>
    <oddHeader>&amp;L&amp;14ข้อมูลทางบัญชี</oddHeader>
    <oddFooter>&amp;L&amp;14&amp;Z&amp;F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Print</vt:lpstr>
      <vt:lpstr>Print!Print_Area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chonnikan</dc:creator>
  <cp:lastModifiedBy>chonnikan</cp:lastModifiedBy>
  <cp:lastPrinted>2026-05-03T05:17:38Z</cp:lastPrinted>
  <dcterms:created xsi:type="dcterms:W3CDTF">2025-09-09T10:47:15Z</dcterms:created>
  <dcterms:modified xsi:type="dcterms:W3CDTF">2026-08-10T12:16:49Z</dcterms:modified>
</cp:coreProperties>
</file>