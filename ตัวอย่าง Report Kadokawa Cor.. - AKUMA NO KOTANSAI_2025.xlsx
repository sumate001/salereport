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<sst xmlns="http://schemas.openxmlformats.org/spreadsheetml/2006/main" count="76" uniqueCount="76">
  <si>
    <t xml:space="preserve">SALES REPORT</t>
  </si>
  <si>
    <t xml:space="preserve">KADOKAWA CORPORATION</t>
  </si>
  <si>
    <t xml:space="preserve">Tuttle-Mori Agency, Inc.</t>
  </si>
  <si>
    <t xml:space="preserve">Amarin Corporations Public Company Limited </t>
  </si>
  <si>
    <t xml:space="preserve">x  ANNUAL             BI-ANNUAL   </t>
  </si>
  <si>
    <t xml:space="preserve">For the Period Ended December 31,2023</t>
  </si>
  <si>
    <t>TITLE</t>
  </si>
  <si>
    <t>NO.OF</t>
  </si>
  <si>
    <t>DATE</t>
  </si>
  <si>
    <t>RETAIL</t>
  </si>
  <si>
    <t>ROYALTY</t>
  </si>
  <si>
    <t>AMOUNT</t>
  </si>
  <si>
    <t>ADVANCED</t>
  </si>
  <si>
    <t>PREVIOUS</t>
  </si>
  <si>
    <t>BALANCE</t>
  </si>
  <si>
    <t>PERIOD</t>
  </si>
  <si>
    <t>พิมพ์</t>
  </si>
  <si>
    <t>เลขJOB</t>
  </si>
  <si>
    <t>ยอดยกมา</t>
  </si>
  <si>
    <t>ยอดขาย</t>
  </si>
  <si>
    <t>คงเหลือ</t>
  </si>
  <si>
    <t>รวมยอดจ่าย</t>
  </si>
  <si>
    <t>หักจ่าย</t>
  </si>
  <si>
    <t>ค่าลิขสิทธิ์</t>
  </si>
  <si>
    <t>อ้างถึง</t>
  </si>
  <si>
    <t>COPIES</t>
  </si>
  <si>
    <t>PRINTED</t>
  </si>
  <si>
    <t>PRICE</t>
  </si>
  <si>
    <t>RATE</t>
  </si>
  <si>
    <t>(THB)</t>
  </si>
  <si>
    <t>(JPY)</t>
  </si>
  <si>
    <t>PAYMENT</t>
  </si>
  <si>
    <t>PAID</t>
  </si>
  <si>
    <t>UNSOLD</t>
  </si>
  <si>
    <t>ครั้งที่</t>
  </si>
  <si>
    <t>No.</t>
  </si>
  <si>
    <t>(เล่ม)</t>
  </si>
  <si>
    <t>(บาท)</t>
  </si>
  <si>
    <t>ล่วงหน้า</t>
  </si>
  <si>
    <t xml:space="preserve"> PRINTED</t>
  </si>
  <si>
    <t>SOLD</t>
  </si>
  <si>
    <t>JOB</t>
  </si>
  <si>
    <t>ISBN</t>
  </si>
  <si>
    <t xml:space="preserve"> </t>
  </si>
  <si>
    <t xml:space="preserve">ก่อน vat</t>
  </si>
  <si>
    <t xml:space="preserve">21732 ก่อน Vat</t>
  </si>
  <si>
    <t>Stock</t>
  </si>
  <si>
    <t>Dif</t>
  </si>
  <si>
    <t>66/SM-003</t>
  </si>
  <si>
    <t xml:space="preserve">AKUMA NO KOTANSAI </t>
  </si>
  <si>
    <t>คริสต์มาสซาตาน</t>
  </si>
  <si>
    <t>66/SM-012</t>
  </si>
  <si>
    <t>66/SM-030</t>
  </si>
  <si>
    <t xml:space="preserve">JPY = 0.2647</t>
  </si>
  <si>
    <t xml:space="preserve">1-4000 =6%</t>
  </si>
  <si>
    <t xml:space="preserve">4001 =7%</t>
  </si>
  <si>
    <t xml:space="preserve">*  at current exchange rate of JPY 1 per 0.24574  Baht</t>
  </si>
  <si>
    <t xml:space="preserve">For the Period Ended December 31,2024</t>
  </si>
  <si>
    <t>JVAC2303-0158</t>
  </si>
  <si>
    <t>JVAC2305-0100</t>
  </si>
  <si>
    <t>JVAC2309-0132</t>
  </si>
  <si>
    <t>EB/66-608</t>
  </si>
  <si>
    <t xml:space="preserve">of net Receipt</t>
  </si>
  <si>
    <t xml:space="preserve">*  at current exchange rate of JPY 1 per 0.218877  Baht</t>
  </si>
  <si>
    <t xml:space="preserve">For the Period Ended December 31,2025</t>
  </si>
  <si>
    <t>=H56*G56*F56</t>
  </si>
  <si>
    <t xml:space="preserve">=I56/EXC Rate(8)</t>
  </si>
  <si>
    <t xml:space="preserve">Advance
แสดงมูลค่าจ่าย
2 สกุลเงิน</t>
  </si>
  <si>
    <t>ยอดคงเหลือยกมาปีก่อน</t>
  </si>
  <si>
    <t>=L54-I54-I55-I56+M54</t>
  </si>
  <si>
    <t xml:space="preserve">ตัดStock ต่อจากปีเก่า
'=O34-H54</t>
  </si>
  <si>
    <t>(Print)</t>
  </si>
  <si>
    <t xml:space="preserve">EXD - 28/2/2027</t>
  </si>
  <si>
    <t xml:space="preserve">Sell off - 31/8/2027</t>
  </si>
  <si>
    <t>(Ebook)</t>
  </si>
  <si>
    <t xml:space="preserve">*  at current exchange rate of JPY 1 per 0.205195 Baht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</si>
</sst>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5">
    <numFmt numFmtId="164" formatCode="_-* #,##0.00_-;\-* #,##0.00_-;_-* &quot;-&quot;??_-;_-@_-"/>
    <numFmt numFmtId="165" formatCode="_-* #,##0_-;\-* #,##0_-;_-* &quot;-&quot;??_-;_-@_-"/>
    <numFmt numFmtId="166" formatCode="[$-409]mmm\-yy;@"/>
    <numFmt numFmtId="167" formatCode="_-* #,##0.0_-;\-* #,##0.0_-;_-* &quot;-&quot;??_-;_-@_-"/>
    <numFmt numFmtId="168" formatCode="_-* #,##0.00000_-;\-* #,##0.00000_-;_-* &quot;-&quot;??_-;_-@_-"/>
  </numFmts>
  <fonts count="21">
    <font>
      <sz val="14.000000"/>
      <name val="Cordia New"/>
    </font>
    <font>
      <sz val="11.000000"/>
      <name val="Cambria"/>
    </font>
    <font>
      <sz val="11.000000"/>
      <color theme="1"/>
      <name val="Cambria"/>
    </font>
    <font>
      <sz val="20.000000"/>
      <color theme="1"/>
      <name val="Cambria"/>
    </font>
    <font>
      <b/>
      <sz val="20.000000"/>
      <name val="Cambria"/>
    </font>
    <font>
      <b/>
      <sz val="20.000000"/>
      <color indexed="2"/>
      <name val="Cambria"/>
    </font>
    <font>
      <b/>
      <sz val="11.000000"/>
      <color theme="1"/>
      <name val="Cambria"/>
    </font>
    <font>
      <b/>
      <sz val="11.000000"/>
      <name val="Cambria"/>
    </font>
    <font>
      <b/>
      <sz val="11.000000"/>
      <color indexed="63"/>
      <name val="Cambria"/>
    </font>
    <font>
      <sz val="9.000000"/>
      <name val="Cambria"/>
    </font>
    <font>
      <sz val="20.000000"/>
      <color theme="4" tint="-0.249977111117893"/>
      <name val="Cambria"/>
    </font>
    <font>
      <b/>
      <sz val="20.000000"/>
      <color theme="4" tint="-0.249977111117893"/>
      <name val="Cambria"/>
    </font>
    <font>
      <b/>
      <sz val="12.000000"/>
      <color theme="4" tint="-0.249977111117893"/>
      <name val="Cambria"/>
    </font>
    <font>
      <b/>
      <sz val="10.000000"/>
      <color theme="4" tint="-0.249977111117893"/>
      <name val="Cambria"/>
    </font>
    <font>
      <b/>
      <sz val="11.000000"/>
      <color theme="4" tint="-0.249977111117893"/>
      <name val="Cambria"/>
    </font>
    <font>
      <b/>
      <sz val="11.000000"/>
      <color indexed="2"/>
      <name val="Cambria"/>
    </font>
    <font>
      <sz val="11.000000"/>
      <color indexed="2"/>
      <name val="Cambria"/>
    </font>
    <font>
      <b/>
      <sz val="18.000000"/>
      <color theme="4" tint="-0.249977111117893"/>
      <name val="Cambria"/>
    </font>
    <font>
      <b/>
      <sz val="14.000000"/>
      <name val="Cambria"/>
    </font>
    <font>
      <sz val="12.000000"/>
      <color theme="1"/>
      <name val="Cambria"/>
    </font>
    <font>
      <b/>
      <sz val="12.000000"/>
      <color theme="1"/>
      <name val="Cambria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</patternFill>
    </fill>
    <fill>
      <patternFill patternType="solid">
        <fgColor theme="6" tint="0.39997558519241921"/>
      </patternFill>
    </fill>
    <fill>
      <patternFill patternType="solid">
        <fgColor indexed="27"/>
        <bgColor indexed="27"/>
      </patternFill>
    </fill>
    <fill>
      <patternFill patternType="solid">
        <fgColor rgb="FFFFCCFF"/>
      </patternFill>
    </fill>
    <fill>
      <patternFill patternType="solid">
        <fgColor indexed="5"/>
      </patternFill>
    </fill>
    <fill>
      <patternFill patternType="solid">
        <fgColor theme="9" tint="0.59999389629810485"/>
      </patternFill>
    </fill>
    <fill>
      <patternFill patternType="solid">
        <fgColor rgb="FF92D050"/>
      </patternFill>
    </fill>
    <fill>
      <patternFill patternType="solid">
        <fgColor theme="5" tint="0.59999389629810485"/>
      </patternFill>
    </fill>
    <fill>
      <patternFill patternType="solid">
        <fgColor rgb="FF00B0F0"/>
      </patternFill>
    </fill>
    <fill>
      <patternFill patternType="solid">
        <fgColor theme="8" tint="0.59999389629810485"/>
      </patternFill>
    </fill>
    <fill>
      <patternFill patternType="solid">
        <fgColor theme="8" tint="0.39997558519241921"/>
      </patternFill>
    </fill>
    <fill>
      <patternFill patternType="solid">
        <fgColor theme="0" tint="0"/>
        <bgColor theme="0" tint="0"/>
      </patternFill>
    </fill>
  </fills>
  <borders count="9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indexed="64"/>
      </left>
      <right style="thin">
        <color indexed="64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4">
    <xf fontId="0" fillId="0" borderId="0" numFmtId="0" applyNumberFormat="1" applyFont="1" applyFill="1" applyBorder="1"/>
    <xf fontId="0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0" fillId="0" borderId="0" numFmtId="9" applyNumberFormat="1" applyFont="0" applyFill="0" applyBorder="0" applyProtection="0"/>
  </cellStyleXfs>
  <cellXfs count="132">
    <xf fontId="0" fillId="0" borderId="0" numFmtId="0" xfId="0"/>
    <xf fontId="1" fillId="0" borderId="0" numFmtId="0" xfId="0" applyFont="1"/>
    <xf fontId="1" fillId="0" borderId="0" numFmtId="1" xfId="0" applyNumberFormat="1" applyFont="1"/>
    <xf fontId="1" fillId="0" borderId="0" numFmtId="165" xfId="1" applyNumberFormat="1" applyFont="1"/>
    <xf fontId="1" fillId="0" borderId="0" numFmtId="166" xfId="0" applyNumberFormat="1" applyFont="1" applyAlignment="1">
      <alignment horizontal="center"/>
    </xf>
    <xf fontId="1" fillId="0" borderId="0" numFmtId="164" xfId="1" applyNumberFormat="1" applyFont="1"/>
    <xf fontId="1" fillId="0" borderId="0" numFmtId="9" xfId="3" applyNumberFormat="1" applyFont="1" applyAlignment="1">
      <alignment horizontal="center"/>
    </xf>
    <xf fontId="2" fillId="0" borderId="0" numFmtId="0" xfId="0" applyFont="1"/>
    <xf fontId="1" fillId="0" borderId="0" numFmtId="0" xfId="0" applyFont="1" applyAlignment="1">
      <alignment horizontal="center"/>
    </xf>
    <xf fontId="3" fillId="0" borderId="0" numFmtId="0" xfId="0" applyFont="1"/>
    <xf fontId="3" fillId="0" borderId="0" numFmtId="1" xfId="0" applyNumberFormat="1" applyFont="1" applyAlignment="1">
      <alignment horizontal="center"/>
    </xf>
    <xf fontId="4" fillId="0" borderId="0" numFmtId="0" xfId="0" applyFont="1" applyAlignment="1">
      <alignment horizontal="center"/>
    </xf>
    <xf fontId="3" fillId="0" borderId="0" numFmtId="0" xfId="0" applyFont="1" applyAlignment="1">
      <alignment horizontal="center"/>
    </xf>
    <xf fontId="3" fillId="0" borderId="0" numFmtId="165" xfId="1" applyNumberFormat="1" applyFont="1"/>
    <xf fontId="4" fillId="0" borderId="0" numFmtId="0" xfId="0" applyFont="1" applyAlignment="1" applyProtection="1">
      <alignment horizontal="center"/>
      <protection locked="0"/>
    </xf>
    <xf fontId="4" fillId="0" borderId="0" numFmtId="0" xfId="0" applyFont="1" applyAlignment="1">
      <alignment horizontal="center" vertical="center"/>
    </xf>
    <xf fontId="5" fillId="0" borderId="1" numFmtId="0" xfId="0" applyFont="1" applyBorder="1" applyAlignment="1">
      <alignment horizontal="center"/>
    </xf>
    <xf fontId="6" fillId="2" borderId="2" numFmtId="0" xfId="0" applyFont="1" applyFill="1" applyBorder="1" applyAlignment="1">
      <alignment horizontal="center"/>
    </xf>
    <xf fontId="6" fillId="3" borderId="2" numFmtId="0" xfId="0" applyFont="1" applyFill="1" applyBorder="1" applyAlignment="1">
      <alignment horizontal="center"/>
    </xf>
    <xf fontId="7" fillId="4" borderId="2" numFmtId="0" xfId="0" applyFont="1" applyFill="1" applyBorder="1" applyAlignment="1">
      <alignment horizontal="center"/>
    </xf>
    <xf fontId="8" fillId="4" borderId="2" numFmtId="165" xfId="1" applyNumberFormat="1" applyFont="1" applyFill="1" applyBorder="1" applyAlignment="1">
      <alignment horizontal="center"/>
    </xf>
    <xf fontId="7" fillId="4" borderId="3" numFmtId="166" xfId="1" applyNumberFormat="1" applyFont="1" applyFill="1" applyBorder="1" applyAlignment="1" applyProtection="1">
      <alignment horizontal="center"/>
      <protection locked="0"/>
    </xf>
    <xf fontId="7" fillId="4" borderId="3" numFmtId="164" xfId="1" applyNumberFormat="1" applyFont="1" applyFill="1" applyBorder="1" applyAlignment="1" applyProtection="1">
      <alignment horizontal="center"/>
      <protection locked="0"/>
    </xf>
    <xf fontId="8" fillId="4" borderId="2" numFmtId="9" xfId="3" applyNumberFormat="1" applyFont="1" applyFill="1" applyBorder="1" applyAlignment="1">
      <alignment horizontal="center"/>
    </xf>
    <xf fontId="6" fillId="4" borderId="2" numFmtId="0" xfId="0" applyFont="1" applyFill="1" applyBorder="1" applyAlignment="1">
      <alignment horizontal="center"/>
    </xf>
    <xf fontId="1" fillId="5" borderId="4" numFmtId="0" xfId="0" applyFont="1" applyFill="1" applyBorder="1" applyAlignment="1">
      <alignment horizontal="center"/>
    </xf>
    <xf fontId="1" fillId="5" borderId="4" numFmtId="165" xfId="1" applyNumberFormat="1" applyFont="1" applyFill="1" applyBorder="1" applyAlignment="1">
      <alignment horizontal="center"/>
    </xf>
    <xf fontId="1" fillId="0" borderId="0" numFmtId="0" xfId="0" applyFont="1" applyAlignment="1">
      <alignment vertical="center"/>
    </xf>
    <xf fontId="6" fillId="2" borderId="4" numFmtId="0" xfId="0" applyFont="1" applyFill="1" applyBorder="1" applyAlignment="1">
      <alignment horizontal="center"/>
    </xf>
    <xf fontId="6" fillId="3" borderId="4" numFmtId="0" xfId="0" applyFont="1" applyFill="1" applyBorder="1" applyAlignment="1">
      <alignment horizontal="center"/>
    </xf>
    <xf fontId="8" fillId="4" borderId="4" numFmtId="2" xfId="0" applyNumberFormat="1" applyFont="1" applyFill="1" applyBorder="1" applyAlignment="1">
      <alignment horizontal="center"/>
    </xf>
    <xf fontId="8" fillId="4" borderId="4" numFmtId="165" xfId="1" applyNumberFormat="1" applyFont="1" applyFill="1" applyBorder="1" applyAlignment="1">
      <alignment horizontal="center"/>
    </xf>
    <xf fontId="7" fillId="4" borderId="5" numFmtId="166" xfId="1" applyNumberFormat="1" applyFont="1" applyFill="1" applyBorder="1" applyAlignment="1" applyProtection="1">
      <alignment horizontal="center"/>
      <protection locked="0"/>
    </xf>
    <xf fontId="7" fillId="4" borderId="5" numFmtId="164" xfId="1" applyNumberFormat="1" applyFont="1" applyFill="1" applyBorder="1" applyAlignment="1" applyProtection="1">
      <alignment horizontal="center"/>
      <protection locked="0"/>
    </xf>
    <xf fontId="8" fillId="4" borderId="4" numFmtId="9" xfId="3" applyNumberFormat="1" applyFont="1" applyFill="1" applyBorder="1" applyAlignment="1">
      <alignment horizontal="center"/>
    </xf>
    <xf fontId="7" fillId="4" borderId="4" numFmtId="0" xfId="0" applyFont="1" applyFill="1" applyBorder="1" applyAlignment="1" applyProtection="1">
      <alignment horizontal="center"/>
      <protection locked="0"/>
    </xf>
    <xf fontId="7" fillId="4" borderId="4" numFmtId="15" xfId="0" applyNumberFormat="1" applyFont="1" applyFill="1" applyBorder="1" applyAlignment="1" applyProtection="1">
      <alignment horizontal="center"/>
      <protection locked="0"/>
    </xf>
    <xf fontId="6" fillId="4" borderId="4" numFmtId="0" xfId="0" applyFont="1" applyFill="1" applyBorder="1" applyAlignment="1" applyProtection="1">
      <alignment horizontal="center"/>
      <protection locked="0"/>
    </xf>
    <xf fontId="1" fillId="5" borderId="4" numFmtId="0" xfId="0" applyFont="1" applyFill="1" applyBorder="1" applyAlignment="1">
      <alignment horizontal="center" vertical="top"/>
    </xf>
    <xf fontId="1" fillId="5" borderId="4" numFmtId="165" xfId="1" applyNumberFormat="1" applyFont="1" applyFill="1" applyBorder="1" applyAlignment="1">
      <alignment horizontal="center" vertical="top"/>
    </xf>
    <xf fontId="6" fillId="4" borderId="4" numFmtId="15" xfId="0" applyNumberFormat="1" applyFont="1" applyFill="1" applyBorder="1" applyAlignment="1" applyProtection="1">
      <alignment horizontal="center"/>
      <protection locked="0"/>
    </xf>
    <xf fontId="1" fillId="5" borderId="4" numFmtId="49" xfId="1" applyNumberFormat="1" applyFont="1" applyFill="1" applyBorder="1" applyAlignment="1">
      <alignment horizontal="center"/>
    </xf>
    <xf fontId="6" fillId="2" borderId="6" numFmtId="0" xfId="0" applyFont="1" applyFill="1" applyBorder="1" applyAlignment="1">
      <alignment horizontal="center"/>
    </xf>
    <xf fontId="6" fillId="3" borderId="6" numFmtId="0" xfId="0" applyFont="1" applyFill="1" applyBorder="1" applyAlignment="1">
      <alignment horizontal="center"/>
    </xf>
    <xf fontId="9" fillId="5" borderId="4" numFmtId="0" xfId="0" applyFont="1" applyFill="1" applyBorder="1" applyAlignment="1">
      <alignment horizontal="center"/>
    </xf>
    <xf fontId="2" fillId="0" borderId="0" numFmtId="0" xfId="0" applyFont="1" applyAlignment="1">
      <alignment horizontal="center"/>
    </xf>
    <xf fontId="1" fillId="0" borderId="2" numFmtId="0" xfId="0" applyFont="1" applyBorder="1"/>
    <xf fontId="1" fillId="0" borderId="2" numFmtId="1" xfId="0" applyNumberFormat="1" applyFont="1" applyBorder="1" applyAlignment="1">
      <alignment horizontal="center"/>
    </xf>
    <xf fontId="1" fillId="0" borderId="2" numFmtId="164" xfId="1" applyNumberFormat="1" applyFont="1" applyBorder="1"/>
    <xf fontId="1" fillId="0" borderId="2" numFmtId="165" xfId="1" applyNumberFormat="1" applyFont="1" applyBorder="1"/>
    <xf fontId="1" fillId="0" borderId="7" numFmtId="166" xfId="0" applyNumberFormat="1" applyFont="1" applyBorder="1" applyAlignment="1">
      <alignment horizontal="center"/>
    </xf>
    <xf fontId="1" fillId="0" borderId="2" numFmtId="9" xfId="3" applyNumberFormat="1" applyFont="1" applyBorder="1" applyAlignment="1">
      <alignment horizontal="center"/>
    </xf>
    <xf fontId="1" fillId="0" borderId="2" numFmtId="164" xfId="1" applyNumberFormat="1" applyFont="1" applyBorder="1" applyAlignment="1">
      <alignment horizontal="center"/>
    </xf>
    <xf fontId="6" fillId="6" borderId="2" numFmtId="164" xfId="1" applyNumberFormat="1" applyFont="1" applyFill="1" applyBorder="1"/>
    <xf fontId="1" fillId="0" borderId="2" numFmtId="0" xfId="0" applyFont="1" applyBorder="1" applyAlignment="1">
      <alignment horizontal="center"/>
    </xf>
    <xf fontId="1" fillId="0" borderId="2" numFmtId="167" xfId="1" applyNumberFormat="1" applyFont="1" applyBorder="1"/>
    <xf fontId="1" fillId="0" borderId="0" numFmtId="164" xfId="2" applyNumberFormat="1" applyFont="1"/>
    <xf fontId="2" fillId="0" borderId="0" numFmtId="164" xfId="0" applyNumberFormat="1" applyFont="1"/>
    <xf fontId="1" fillId="0" borderId="4" numFmtId="0" xfId="0" applyFont="1" applyBorder="1"/>
    <xf fontId="1" fillId="0" borderId="4" numFmtId="1" xfId="0" applyNumberFormat="1" applyFont="1" applyBorder="1" applyAlignment="1">
      <alignment horizontal="center"/>
    </xf>
    <xf fontId="1" fillId="0" borderId="4" numFmtId="164" xfId="1" applyNumberFormat="1" applyFont="1" applyBorder="1"/>
    <xf fontId="1" fillId="0" borderId="4" numFmtId="165" xfId="1" applyNumberFormat="1" applyFont="1" applyBorder="1"/>
    <xf fontId="1" fillId="0" borderId="4" numFmtId="166" xfId="1" applyNumberFormat="1" applyFont="1" applyBorder="1" applyAlignment="1">
      <alignment horizontal="center"/>
    </xf>
    <xf fontId="1" fillId="0" borderId="4" numFmtId="9" xfId="3" applyNumberFormat="1" applyFont="1" applyBorder="1" applyAlignment="1">
      <alignment horizontal="center"/>
    </xf>
    <xf fontId="1" fillId="0" borderId="4" numFmtId="0" xfId="0" applyFont="1" applyBorder="1" applyAlignment="1">
      <alignment horizontal="center"/>
    </xf>
    <xf fontId="2" fillId="0" borderId="4" numFmtId="164" xfId="1" applyNumberFormat="1" applyFont="1" applyBorder="1"/>
    <xf fontId="1" fillId="0" borderId="4" numFmtId="167" xfId="1" applyNumberFormat="1" applyFont="1" applyBorder="1"/>
    <xf fontId="1" fillId="0" borderId="4" numFmtId="164" xfId="1" applyNumberFormat="1" applyFont="1" applyBorder="1" applyAlignment="1">
      <alignment horizontal="center"/>
    </xf>
    <xf fontId="1" fillId="0" borderId="0" numFmtId="164" xfId="1" applyNumberFormat="1" applyFont="1" applyAlignment="1">
      <alignment horizontal="center"/>
    </xf>
    <xf fontId="1" fillId="0" borderId="0" numFmtId="168" xfId="1" applyNumberFormat="1" applyFont="1" applyAlignment="1">
      <alignment horizontal="center"/>
    </xf>
    <xf fontId="9" fillId="0" borderId="4" numFmtId="0" xfId="0" applyFont="1" applyBorder="1"/>
    <xf fontId="1" fillId="0" borderId="4" numFmtId="166" xfId="0" applyNumberFormat="1" applyFont="1" applyBorder="1" applyAlignment="1">
      <alignment horizontal="center"/>
    </xf>
    <xf fontId="2" fillId="0" borderId="4" numFmtId="0" xfId="0" applyFont="1" applyBorder="1"/>
    <xf fontId="1" fillId="7" borderId="4" numFmtId="164" xfId="1" applyNumberFormat="1" applyFont="1" applyFill="1" applyBorder="1"/>
    <xf fontId="1" fillId="7" borderId="4" numFmtId="168" xfId="1" applyNumberFormat="1" applyFont="1" applyFill="1" applyBorder="1"/>
    <xf fontId="1" fillId="0" borderId="6" numFmtId="1" xfId="0" applyNumberFormat="1" applyFont="1" applyBorder="1" applyAlignment="1">
      <alignment horizontal="center"/>
    </xf>
    <xf fontId="9" fillId="0" borderId="6" numFmtId="0" xfId="0" applyFont="1" applyBorder="1"/>
    <xf fontId="1" fillId="0" borderId="6" numFmtId="165" xfId="1" applyNumberFormat="1" applyFont="1" applyBorder="1"/>
    <xf fontId="1" fillId="0" borderId="6" numFmtId="166" xfId="0" applyNumberFormat="1" applyFont="1" applyBorder="1" applyAlignment="1">
      <alignment horizontal="center"/>
    </xf>
    <xf fontId="1" fillId="0" borderId="6" numFmtId="164" xfId="1" applyNumberFormat="1" applyFont="1" applyBorder="1"/>
    <xf fontId="1" fillId="0" borderId="6" numFmtId="9" xfId="3" applyNumberFormat="1" applyFont="1" applyBorder="1" applyAlignment="1">
      <alignment horizontal="center"/>
    </xf>
    <xf fontId="1" fillId="0" borderId="6" numFmtId="0" xfId="0" applyFont="1" applyBorder="1"/>
    <xf fontId="1" fillId="0" borderId="6" numFmtId="0" xfId="0" applyFont="1" applyBorder="1" applyAlignment="1">
      <alignment horizontal="center"/>
    </xf>
    <xf fontId="2" fillId="0" borderId="6" numFmtId="0" xfId="0" applyFont="1" applyBorder="1"/>
    <xf fontId="2" fillId="0" borderId="0" numFmtId="1" xfId="0" applyNumberFormat="1" applyFont="1" applyAlignment="1">
      <alignment horizontal="center"/>
    </xf>
    <xf fontId="2" fillId="0" borderId="0" numFmtId="165" xfId="1" applyNumberFormat="1" applyFont="1"/>
    <xf fontId="2" fillId="0" borderId="0" numFmtId="164" xfId="1" applyNumberFormat="1" applyFont="1"/>
    <xf fontId="1" fillId="0" borderId="0" numFmtId="9" xfId="3" applyNumberFormat="1" applyFont="1" applyAlignment="1">
      <alignment horizontal="left"/>
    </xf>
    <xf fontId="6" fillId="8" borderId="2" numFmtId="164" xfId="1" applyNumberFormat="1" applyFont="1" applyFill="1" applyBorder="1"/>
    <xf fontId="1" fillId="9" borderId="4" numFmtId="165" xfId="1" applyNumberFormat="1" applyFont="1" applyFill="1" applyBorder="1"/>
    <xf fontId="1" fillId="0" borderId="4" numFmtId="164" xfId="2" applyNumberFormat="1" applyFont="1" applyBorder="1"/>
    <xf fontId="1" fillId="0" borderId="2" numFmtId="9" xfId="1" applyNumberFormat="1" applyFont="1" applyBorder="1" applyAlignment="1">
      <alignment horizontal="center"/>
    </xf>
    <xf fontId="6" fillId="10" borderId="2" numFmtId="164" xfId="1" applyNumberFormat="1" applyFont="1" applyFill="1" applyBorder="1"/>
    <xf fontId="1" fillId="0" borderId="6" numFmtId="164" xfId="1" applyNumberFormat="1" applyFont="1" applyBorder="1" applyAlignment="1">
      <alignment horizontal="center"/>
    </xf>
    <xf fontId="5" fillId="0" borderId="0" numFmtId="0" xfId="0" applyFont="1" applyAlignment="1">
      <alignment horizontal="center"/>
    </xf>
    <xf fontId="10" fillId="6" borderId="8" numFmtId="1" xfId="0" applyNumberFormat="1" applyFont="1" applyFill="1" applyBorder="1" applyAlignment="1">
      <alignment horizontal="center"/>
    </xf>
    <xf fontId="11" fillId="6" borderId="8" numFmtId="0" xfId="0" applyFont="1" applyFill="1" applyBorder="1" applyAlignment="1">
      <alignment horizontal="center"/>
    </xf>
    <xf fontId="12" fillId="6" borderId="8" numFmtId="0" xfId="0" applyFont="1" applyFill="1" applyBorder="1" applyAlignment="1" quotePrefix="1">
      <alignment horizontal="center"/>
    </xf>
    <xf fontId="12" fillId="6" borderId="8" numFmtId="164" xfId="0" applyNumberFormat="1" applyFont="1" applyFill="1" applyBorder="1" applyAlignment="1" quotePrefix="1">
      <alignment horizontal="center"/>
    </xf>
    <xf fontId="13" fillId="6" borderId="8" numFmtId="0" xfId="0" applyFont="1" applyFill="1" applyBorder="1" applyAlignment="1">
      <alignment horizontal="center" wrapText="1"/>
    </xf>
    <xf fontId="14" fillId="6" borderId="8" numFmtId="0" xfId="0" applyFont="1" applyFill="1" applyBorder="1" applyAlignment="1">
      <alignment horizontal="center" wrapText="1"/>
    </xf>
    <xf fontId="13" fillId="6" borderId="8" numFmtId="165" xfId="0" applyNumberFormat="1" applyFont="1" applyFill="1" applyBorder="1" applyAlignment="1" quotePrefix="1">
      <alignment horizontal="center" wrapText="1"/>
    </xf>
    <xf fontId="1" fillId="11" borderId="2" numFmtId="164" xfId="1" applyNumberFormat="1" applyFont="1" applyFill="1" applyBorder="1" applyAlignment="1">
      <alignment horizontal="center"/>
    </xf>
    <xf fontId="1" fillId="8" borderId="2" numFmtId="164" xfId="1" applyNumberFormat="1" applyFont="1" applyFill="1" applyBorder="1"/>
    <xf fontId="15" fillId="0" borderId="2" numFmtId="164" xfId="1" applyNumberFormat="1" applyFont="1" applyBorder="1"/>
    <xf fontId="1" fillId="11" borderId="4" numFmtId="0" xfId="0" applyFont="1" applyFill="1" applyBorder="1" applyAlignment="1">
      <alignment horizontal="center"/>
    </xf>
    <xf fontId="16" fillId="0" borderId="4" numFmtId="164" xfId="1" applyNumberFormat="1" applyFont="1" applyBorder="1"/>
    <xf fontId="1" fillId="12" borderId="4" numFmtId="164" xfId="1" applyNumberFormat="1" applyFont="1" applyFill="1" applyBorder="1" applyAlignment="1">
      <alignment horizontal="center"/>
    </xf>
    <xf fontId="1" fillId="12" borderId="0" numFmtId="164" xfId="1" applyNumberFormat="1" applyFont="1" applyFill="1" applyAlignment="1">
      <alignment horizontal="center"/>
    </xf>
    <xf fontId="1" fillId="12" borderId="0" numFmtId="168" xfId="1" applyNumberFormat="1" applyFont="1" applyFill="1" applyAlignment="1">
      <alignment horizontal="center"/>
    </xf>
    <xf fontId="16" fillId="0" borderId="4" numFmtId="1" xfId="0" applyNumberFormat="1" applyFont="1" applyBorder="1" applyAlignment="1">
      <alignment horizontal="center"/>
    </xf>
    <xf fontId="16" fillId="0" borderId="4" numFmtId="0" xfId="0" applyFont="1" applyBorder="1"/>
    <xf fontId="16" fillId="0" borderId="6" numFmtId="1" xfId="0" applyNumberFormat="1" applyFont="1" applyBorder="1" applyAlignment="1">
      <alignment horizontal="center"/>
    </xf>
    <xf fontId="16" fillId="0" borderId="6" numFmtId="0" xfId="0" applyFont="1" applyBorder="1"/>
    <xf fontId="1" fillId="10" borderId="2" numFmtId="164" xfId="1" applyNumberFormat="1" applyFont="1" applyFill="1" applyBorder="1"/>
    <xf fontId="17" fillId="13" borderId="8" numFmtId="49" xfId="1" applyNumberFormat="1" applyFont="1" applyFill="1" applyBorder="1" applyAlignment="1">
      <alignment horizontal="center" vertical="center"/>
    </xf>
    <xf fontId="18" fillId="0" borderId="0" numFmtId="165" xfId="1" applyNumberFormat="1" applyFont="1"/>
    <xf fontId="1" fillId="0" borderId="0" numFmtId="164" xfId="1" applyNumberFormat="1" applyFont="1" quotePrefix="1"/>
    <xf fontId="1" fillId="0" borderId="0" numFmtId="164" xfId="1" applyNumberFormat="1" applyFont="1" applyAlignment="1">
      <alignment horizontal="left"/>
    </xf>
    <xf fontId="1" fillId="0" borderId="0" numFmtId="0" xfId="0" applyFont="1" applyAlignment="1">
      <alignment horizontal="right"/>
    </xf>
    <xf fontId="1" fillId="0" borderId="0" numFmtId="0" xfId="0" applyFont="1" applyAlignment="1">
      <alignment horizontal="left"/>
    </xf>
    <xf fontId="19" fillId="0" borderId="0" numFmtId="0" xfId="0" applyFont="1"/>
    <xf fontId="19" fillId="0" borderId="0" numFmtId="164" xfId="1" applyNumberFormat="1" applyFont="1"/>
    <xf fontId="19" fillId="0" borderId="0" numFmtId="0" xfId="0" applyFont="1" applyAlignment="1">
      <alignment horizontal="center"/>
    </xf>
    <xf fontId="20" fillId="13" borderId="0" numFmtId="0" xfId="0" applyFont="1" applyFill="1" applyAlignment="1">
      <alignment horizontal="center"/>
    </xf>
    <xf fontId="20" fillId="0" borderId="0" numFmtId="0" xfId="0" applyFont="1" applyAlignment="1">
      <alignment horizontal="center"/>
    </xf>
    <xf fontId="19" fillId="0" borderId="0" numFmtId="0" xfId="0" applyFont="1" quotePrefix="1"/>
    <xf fontId="19" fillId="0" borderId="0" numFmtId="0" xfId="0" applyFont="1" applyAlignment="1">
      <alignment horizontal="left"/>
    </xf>
    <xf fontId="2" fillId="0" borderId="0" numFmtId="0" xfId="0" applyFont="1" applyAlignment="1">
      <alignment horizontal="center" vertical="center"/>
    </xf>
    <xf fontId="19" fillId="0" borderId="0" numFmtId="0" xfId="0" applyFont="1" applyAlignment="1">
      <alignment horizontal="left" vertical="center"/>
    </xf>
    <xf fontId="2" fillId="0" borderId="0" numFmtId="0" xfId="0" applyFont="1" quotePrefix="1"/>
    <xf fontId="1" fillId="0" borderId="0" numFmtId="0" xfId="0" applyFont="1" quotePrefix="1"/>
  </cellXfs>
  <cellStyles count="4">
    <cellStyle name="Comma" xfId="1" builtinId="3"/>
    <cellStyle name="Comma 10 2 2 2" xfId="2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2" zoomScale="59" workbookViewId="0">
      <selection activeCell="C70" activeCellId="0" sqref="C70"/>
    </sheetView>
  </sheetViews>
  <sheetFormatPr defaultRowHeight="21"/>
  <cols>
    <col customWidth="1" min="1" max="1" style="1" width="18.42578125"/>
    <col customWidth="1" min="2" max="2" style="2" width="29.7109375"/>
    <col customWidth="1" min="3" max="3" style="1" width="34.7109375"/>
    <col customWidth="1" min="4" max="4" style="3" width="15.140625"/>
    <col customWidth="1" min="5" max="5" style="4" width="15.140625"/>
    <col customWidth="1" min="6" max="6" style="5" width="15.140625"/>
    <col customWidth="1" min="7" max="7" style="6" width="15.140625"/>
    <col customWidth="1" min="8" max="8" style="1" width="15.140625"/>
    <col customWidth="1" min="9" max="9" style="1" width="16.85546875"/>
    <col customWidth="1" min="10" max="10" style="1" width="21.85546875"/>
    <col customWidth="1" min="11" max="13" style="1" width="15.140625"/>
    <col customWidth="1" min="14" max="14" style="7" width="22.42578125"/>
    <col customWidth="1" min="15" max="15" style="1" width="18.7109375"/>
    <col customWidth="1" hidden="1" min="16" max="16" style="8" width="12.85546875"/>
    <col customWidth="1" hidden="1" min="17" max="17" style="1" width="12.85546875"/>
    <col customWidth="1" hidden="1" min="18" max="20" style="3" width="12.85546875"/>
    <col customWidth="1" hidden="1" min="21" max="24" style="1" width="12.85546875"/>
    <col customWidth="1" hidden="1" min="25" max="25" style="1" width="18.140625"/>
    <col customWidth="1" hidden="1" min="26" max="27" style="1" width="12.7109375"/>
    <col customWidth="1" hidden="1" min="28" max="28" style="1" width="15.85546875"/>
    <col customWidth="1" hidden="1" min="29" max="30" style="1" width="12.7109375"/>
    <col min="31" max="16384" style="1" width="9.140625"/>
  </cols>
  <sheetData>
    <row r="1" s="9" customFormat="1" ht="24.75">
      <c r="B1" s="10"/>
      <c r="C1" s="11" t="s">
        <v>0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/>
      <c r="R1" s="13"/>
      <c r="S1" s="13"/>
      <c r="T1" s="13"/>
    </row>
    <row r="2" s="9" customFormat="1" ht="24.75">
      <c r="B2" s="10"/>
      <c r="C2" s="14" t="s">
        <v>1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2"/>
      <c r="R2" s="13"/>
      <c r="S2" s="13"/>
      <c r="T2" s="13"/>
    </row>
    <row r="3" s="9" customFormat="1" ht="24.75">
      <c r="B3" s="10"/>
      <c r="C3" s="14" t="s">
        <v>2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2"/>
      <c r="R3" s="13"/>
      <c r="S3" s="13"/>
      <c r="T3" s="13"/>
    </row>
    <row r="4" s="9" customFormat="1" ht="24.75">
      <c r="B4" s="10"/>
      <c r="C4" s="15" t="s">
        <v>3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2"/>
      <c r="R4" s="13"/>
      <c r="S4" s="13"/>
      <c r="T4" s="13"/>
    </row>
    <row r="5" s="9" customFormat="1" ht="24.75">
      <c r="B5" s="10"/>
      <c r="C5" s="11" t="s">
        <v>4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2"/>
      <c r="R5" s="13"/>
      <c r="S5" s="13"/>
      <c r="T5" s="13"/>
    </row>
    <row r="6" s="9" customFormat="1" ht="24.75">
      <c r="B6" s="10"/>
      <c r="C6" s="16" t="s">
        <v>5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2"/>
      <c r="R6" s="13"/>
      <c r="S6" s="13"/>
      <c r="T6" s="13"/>
    </row>
    <row r="7" s="7" customFormat="1">
      <c r="A7" s="17"/>
      <c r="B7" s="18"/>
      <c r="C7" s="19" t="s">
        <v>6</v>
      </c>
      <c r="D7" s="20" t="s">
        <v>7</v>
      </c>
      <c r="E7" s="21" t="s">
        <v>8</v>
      </c>
      <c r="F7" s="22" t="s">
        <v>9</v>
      </c>
      <c r="G7" s="23" t="s">
        <v>10</v>
      </c>
      <c r="H7" s="19" t="s">
        <v>7</v>
      </c>
      <c r="I7" s="19" t="s">
        <v>11</v>
      </c>
      <c r="J7" s="19" t="s">
        <v>11</v>
      </c>
      <c r="K7" s="19" t="s">
        <v>12</v>
      </c>
      <c r="L7" s="19" t="s">
        <v>13</v>
      </c>
      <c r="M7" s="19" t="s">
        <v>14</v>
      </c>
      <c r="N7" s="24" t="s">
        <v>15</v>
      </c>
      <c r="O7" s="19" t="s">
        <v>7</v>
      </c>
      <c r="P7" s="25" t="s">
        <v>16</v>
      </c>
      <c r="Q7" s="25" t="s">
        <v>17</v>
      </c>
      <c r="R7" s="26" t="s">
        <v>18</v>
      </c>
      <c r="S7" s="26" t="s">
        <v>19</v>
      </c>
      <c r="T7" s="26" t="s">
        <v>20</v>
      </c>
      <c r="U7" s="25" t="s">
        <v>21</v>
      </c>
      <c r="V7" s="25" t="s">
        <v>22</v>
      </c>
      <c r="W7" s="25" t="s">
        <v>23</v>
      </c>
      <c r="X7" s="25" t="s">
        <v>20</v>
      </c>
      <c r="Y7" s="25" t="s">
        <v>24</v>
      </c>
      <c r="Z7" s="1"/>
      <c r="AA7" s="1"/>
      <c r="AB7" s="27"/>
      <c r="AC7" s="27"/>
      <c r="AD7" s="7"/>
    </row>
    <row r="8" s="7" customFormat="1">
      <c r="A8" s="28"/>
      <c r="B8" s="29"/>
      <c r="C8" s="30"/>
      <c r="D8" s="31" t="s">
        <v>25</v>
      </c>
      <c r="E8" s="32" t="s">
        <v>26</v>
      </c>
      <c r="F8" s="33" t="s">
        <v>27</v>
      </c>
      <c r="G8" s="34" t="s">
        <v>28</v>
      </c>
      <c r="H8" s="35" t="s">
        <v>25</v>
      </c>
      <c r="I8" s="36" t="s">
        <v>29</v>
      </c>
      <c r="J8" s="36" t="s">
        <v>30</v>
      </c>
      <c r="K8" s="35" t="s">
        <v>31</v>
      </c>
      <c r="L8" s="35" t="s">
        <v>14</v>
      </c>
      <c r="M8" s="35" t="s">
        <v>32</v>
      </c>
      <c r="N8" s="37" t="s">
        <v>14</v>
      </c>
      <c r="O8" s="35" t="s">
        <v>33</v>
      </c>
      <c r="P8" s="38" t="s">
        <v>34</v>
      </c>
      <c r="Q8" s="38" t="s">
        <v>35</v>
      </c>
      <c r="R8" s="39" t="s">
        <v>36</v>
      </c>
      <c r="S8" s="39" t="s">
        <v>36</v>
      </c>
      <c r="T8" s="39" t="s">
        <v>36</v>
      </c>
      <c r="U8" s="38" t="s">
        <v>37</v>
      </c>
      <c r="V8" s="38" t="s">
        <v>38</v>
      </c>
      <c r="W8" s="38"/>
      <c r="X8" s="38">
        <v>21732</v>
      </c>
      <c r="Y8" s="38"/>
      <c r="Z8" s="1"/>
      <c r="AA8" s="1"/>
      <c r="AB8" s="27"/>
      <c r="AC8" s="27"/>
      <c r="AD8" s="7"/>
    </row>
    <row r="9" s="7" customFormat="1">
      <c r="A9" s="28"/>
      <c r="B9" s="29"/>
      <c r="C9" s="30"/>
      <c r="D9" s="31" t="s">
        <v>39</v>
      </c>
      <c r="E9" s="32"/>
      <c r="F9" s="33" t="s">
        <v>29</v>
      </c>
      <c r="G9" s="34"/>
      <c r="H9" s="35" t="s">
        <v>40</v>
      </c>
      <c r="I9" s="36"/>
      <c r="J9" s="36"/>
      <c r="K9" s="36" t="s">
        <v>29</v>
      </c>
      <c r="L9" s="36" t="s">
        <v>29</v>
      </c>
      <c r="M9" s="36" t="s">
        <v>29</v>
      </c>
      <c r="N9" s="40" t="s">
        <v>29</v>
      </c>
      <c r="O9" s="35" t="s">
        <v>25</v>
      </c>
      <c r="P9" s="25"/>
      <c r="Q9" s="25"/>
      <c r="R9" s="26"/>
      <c r="S9" s="41">
        <v>2024</v>
      </c>
      <c r="T9" s="26"/>
      <c r="U9" s="25"/>
      <c r="V9" s="25"/>
      <c r="W9" s="25"/>
      <c r="X9" s="25"/>
      <c r="Y9" s="25"/>
      <c r="Z9" s="1"/>
      <c r="AA9" s="1"/>
      <c r="AB9" s="27"/>
      <c r="AC9" s="27" t="s">
        <v>20</v>
      </c>
      <c r="AD9" s="7"/>
    </row>
    <row r="10" s="7" customFormat="1">
      <c r="A10" s="42" t="s">
        <v>41</v>
      </c>
      <c r="B10" s="43" t="s">
        <v>42</v>
      </c>
      <c r="C10" s="30"/>
      <c r="D10" s="31" t="s">
        <v>43</v>
      </c>
      <c r="E10" s="32"/>
      <c r="F10" s="33" t="s">
        <v>43</v>
      </c>
      <c r="G10" s="34"/>
      <c r="H10" s="35" t="s">
        <v>43</v>
      </c>
      <c r="I10" s="36"/>
      <c r="J10" s="36"/>
      <c r="K10" s="35" t="s">
        <v>43</v>
      </c>
      <c r="L10" s="35" t="s">
        <v>43</v>
      </c>
      <c r="M10" s="35"/>
      <c r="N10" s="37" t="s">
        <v>43</v>
      </c>
      <c r="O10" s="35" t="s">
        <v>43</v>
      </c>
      <c r="P10" s="25"/>
      <c r="Q10" s="25"/>
      <c r="R10" s="26"/>
      <c r="S10" s="26"/>
      <c r="T10" s="26"/>
      <c r="U10" s="25"/>
      <c r="V10" s="25"/>
      <c r="W10" s="25"/>
      <c r="X10" s="44"/>
      <c r="Y10" s="44"/>
      <c r="Z10" s="8" t="s">
        <v>44</v>
      </c>
      <c r="AA10" s="8">
        <v>21732</v>
      </c>
      <c r="AB10" s="8" t="s">
        <v>45</v>
      </c>
      <c r="AC10" s="8" t="s">
        <v>46</v>
      </c>
      <c r="AD10" s="45" t="s">
        <v>47</v>
      </c>
    </row>
    <row r="11" s="1" customFormat="1">
      <c r="A11" s="46" t="s">
        <v>48</v>
      </c>
      <c r="B11" s="47">
        <v>9786161855550</v>
      </c>
      <c r="C11" s="48" t="s">
        <v>49</v>
      </c>
      <c r="D11" s="49">
        <v>4000</v>
      </c>
      <c r="E11" s="50">
        <v>44986</v>
      </c>
      <c r="F11" s="48">
        <v>275</v>
      </c>
      <c r="G11" s="51">
        <v>5.9999999999999998e-02</v>
      </c>
      <c r="H11" s="49">
        <v>4000</v>
      </c>
      <c r="I11" s="48">
        <f t="shared" ref="I11:I57" si="0">H11*G11*F11</f>
        <v>66000</v>
      </c>
      <c r="J11" s="48">
        <f t="shared" ref="J11:J14" si="1">I11/0.24574</f>
        <v>268576.54431512981</v>
      </c>
      <c r="K11" s="52">
        <v>52940</v>
      </c>
      <c r="L11" s="48"/>
      <c r="M11" s="48"/>
      <c r="N11" s="53">
        <f>K11-I11-I12-I13-I14+M11</f>
        <v>-24205.75</v>
      </c>
      <c r="O11" s="49">
        <f t="shared" ref="O11:O13" si="2">D11-H11</f>
        <v>0</v>
      </c>
      <c r="P11" s="54"/>
      <c r="Q11" s="46"/>
      <c r="R11" s="49"/>
      <c r="S11" s="49"/>
      <c r="T11" s="49"/>
      <c r="U11" s="55"/>
      <c r="V11" s="48"/>
      <c r="W11" s="48"/>
      <c r="X11" s="48"/>
      <c r="Y11" s="48"/>
      <c r="Z11" s="56"/>
      <c r="AA11" s="57"/>
      <c r="AB11" s="56"/>
      <c r="AC11" s="56"/>
      <c r="AD11" s="56"/>
    </row>
    <row r="12" s="1" customFormat="1">
      <c r="A12" s="58" t="s">
        <v>48</v>
      </c>
      <c r="B12" s="59">
        <v>9786161855550</v>
      </c>
      <c r="C12" s="60" t="s">
        <v>50</v>
      </c>
      <c r="D12" s="61">
        <v>800</v>
      </c>
      <c r="E12" s="62">
        <v>44986</v>
      </c>
      <c r="F12" s="60">
        <v>275</v>
      </c>
      <c r="G12" s="63">
        <v>7.0000000000000007e-02</v>
      </c>
      <c r="H12" s="61">
        <v>579</v>
      </c>
      <c r="I12" s="60">
        <f t="shared" si="0"/>
        <v>11145.75</v>
      </c>
      <c r="J12" s="60">
        <f t="shared" si="1"/>
        <v>45355.863921217548</v>
      </c>
      <c r="K12" s="64" t="s">
        <v>29</v>
      </c>
      <c r="L12" s="60"/>
      <c r="M12" s="60"/>
      <c r="N12" s="65"/>
      <c r="O12" s="61">
        <f t="shared" si="2"/>
        <v>221</v>
      </c>
      <c r="P12" s="64"/>
      <c r="Q12" s="58"/>
      <c r="R12" s="61"/>
      <c r="S12" s="61"/>
      <c r="T12" s="61"/>
      <c r="U12" s="66"/>
      <c r="V12" s="60"/>
      <c r="W12" s="60"/>
      <c r="X12" s="60"/>
      <c r="Y12" s="60"/>
      <c r="Z12" s="56"/>
      <c r="AA12" s="57"/>
      <c r="AB12" s="56"/>
      <c r="AC12" s="56"/>
      <c r="AD12" s="56"/>
    </row>
    <row r="13" s="1" customFormat="1">
      <c r="A13" s="58" t="s">
        <v>51</v>
      </c>
      <c r="B13" s="59">
        <v>9786161855550</v>
      </c>
      <c r="C13" s="60"/>
      <c r="D13" s="61">
        <v>2050</v>
      </c>
      <c r="E13" s="62">
        <v>45047</v>
      </c>
      <c r="F13" s="60">
        <v>275</v>
      </c>
      <c r="G13" s="63">
        <v>7.0000000000000007e-02</v>
      </c>
      <c r="H13" s="60">
        <v>0</v>
      </c>
      <c r="I13" s="60">
        <f t="shared" si="0"/>
        <v>0</v>
      </c>
      <c r="J13" s="60">
        <f t="shared" si="1"/>
        <v>0</v>
      </c>
      <c r="K13" s="67">
        <v>200000</v>
      </c>
      <c r="L13" s="60"/>
      <c r="M13" s="60"/>
      <c r="N13" s="65"/>
      <c r="O13" s="61">
        <f t="shared" si="2"/>
        <v>2050</v>
      </c>
      <c r="P13" s="64"/>
      <c r="Q13" s="58"/>
      <c r="R13" s="61"/>
      <c r="S13" s="61"/>
      <c r="T13" s="61"/>
      <c r="U13" s="66"/>
      <c r="V13" s="60"/>
      <c r="W13" s="60"/>
      <c r="X13" s="60"/>
      <c r="Y13" s="60"/>
      <c r="Z13" s="56"/>
      <c r="AA13" s="57"/>
      <c r="AB13" s="56"/>
      <c r="AC13" s="56"/>
      <c r="AD13" s="56"/>
    </row>
    <row r="14" s="1" customFormat="1">
      <c r="A14" s="58" t="s">
        <v>52</v>
      </c>
      <c r="B14" s="59">
        <v>9786161855550</v>
      </c>
      <c r="C14" s="60"/>
      <c r="D14" s="61">
        <v>1300</v>
      </c>
      <c r="E14" s="62">
        <v>45170</v>
      </c>
      <c r="F14" s="60">
        <v>275</v>
      </c>
      <c r="G14" s="63">
        <v>7.0000000000000007e-02</v>
      </c>
      <c r="H14" s="60">
        <v>0</v>
      </c>
      <c r="I14" s="60">
        <f t="shared" si="0"/>
        <v>0</v>
      </c>
      <c r="J14" s="60">
        <f t="shared" si="1"/>
        <v>0</v>
      </c>
      <c r="K14" s="68" t="s">
        <v>30</v>
      </c>
      <c r="L14" s="60"/>
      <c r="M14" s="60"/>
      <c r="N14" s="65"/>
      <c r="O14" s="61"/>
      <c r="P14" s="64"/>
      <c r="Q14" s="58"/>
      <c r="R14" s="61"/>
      <c r="S14" s="61"/>
      <c r="T14" s="61"/>
      <c r="U14" s="60"/>
      <c r="V14" s="60"/>
      <c r="W14" s="60"/>
      <c r="X14" s="60"/>
      <c r="Y14" s="60"/>
    </row>
    <row r="15" s="1" customFormat="1">
      <c r="B15" s="59"/>
      <c r="C15" s="60"/>
      <c r="D15" s="61"/>
      <c r="E15" s="62"/>
      <c r="F15" s="60"/>
      <c r="G15" s="63"/>
      <c r="H15" s="60"/>
      <c r="I15" s="60"/>
      <c r="J15" s="60"/>
      <c r="K15" s="69" t="s">
        <v>53</v>
      </c>
      <c r="L15" s="60"/>
      <c r="M15" s="60"/>
      <c r="N15" s="65"/>
      <c r="O15" s="61"/>
      <c r="P15" s="64"/>
      <c r="Q15" s="58"/>
      <c r="R15" s="61"/>
      <c r="S15" s="61"/>
      <c r="T15" s="61"/>
      <c r="U15" s="60"/>
      <c r="V15" s="60"/>
      <c r="W15" s="60"/>
      <c r="X15" s="60"/>
      <c r="Y15" s="60"/>
    </row>
    <row r="16" s="1" customFormat="1">
      <c r="B16" s="59"/>
      <c r="C16" s="70" t="s">
        <v>54</v>
      </c>
      <c r="D16" s="61"/>
      <c r="E16" s="71"/>
      <c r="F16" s="60"/>
      <c r="G16" s="63"/>
      <c r="H16" s="58"/>
      <c r="I16" s="58"/>
      <c r="J16" s="58"/>
      <c r="K16" s="8"/>
      <c r="L16" s="58"/>
      <c r="M16" s="58"/>
      <c r="N16" s="72"/>
      <c r="O16" s="61"/>
      <c r="P16" s="64"/>
      <c r="Q16" s="58"/>
      <c r="R16" s="73"/>
      <c r="S16" s="73"/>
      <c r="T16" s="74"/>
      <c r="U16" s="73"/>
      <c r="V16" s="73"/>
      <c r="W16" s="58"/>
      <c r="X16" s="60"/>
      <c r="Y16" s="60"/>
    </row>
    <row r="17" s="1" customFormat="1">
      <c r="B17" s="75"/>
      <c r="C17" s="76" t="s">
        <v>55</v>
      </c>
      <c r="D17" s="77"/>
      <c r="E17" s="78"/>
      <c r="F17" s="79"/>
      <c r="G17" s="80"/>
      <c r="H17" s="81"/>
      <c r="I17" s="81"/>
      <c r="J17" s="81"/>
      <c r="K17" s="82"/>
      <c r="L17" s="81"/>
      <c r="M17" s="81"/>
      <c r="N17" s="83"/>
      <c r="O17" s="77"/>
      <c r="P17" s="82"/>
      <c r="Q17" s="81"/>
      <c r="R17" s="77"/>
      <c r="S17" s="77"/>
      <c r="T17" s="77"/>
      <c r="U17" s="79"/>
      <c r="V17" s="79"/>
      <c r="W17" s="79"/>
      <c r="X17" s="79"/>
      <c r="Y17" s="79"/>
    </row>
    <row r="18" s="7" customFormat="1">
      <c r="B18" s="84"/>
      <c r="C18" s="7"/>
      <c r="D18" s="85"/>
      <c r="F18" s="86"/>
      <c r="G18" s="87" t="s">
        <v>56</v>
      </c>
      <c r="H18" s="7"/>
      <c r="I18" s="7"/>
      <c r="J18" s="7"/>
      <c r="K18" s="45"/>
      <c r="L18" s="7"/>
      <c r="M18" s="7"/>
      <c r="N18" s="7"/>
      <c r="O18" s="7"/>
      <c r="P18" s="45"/>
      <c r="R18" s="85"/>
      <c r="S18" s="85"/>
      <c r="T18" s="85"/>
    </row>
    <row r="19" s="9" customFormat="1" ht="24.75">
      <c r="B19" s="10"/>
      <c r="C19" s="11" t="s">
        <v>0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2"/>
      <c r="R19" s="13"/>
      <c r="S19" s="13"/>
      <c r="T19" s="13"/>
    </row>
    <row r="20" s="9" customFormat="1" ht="24.75">
      <c r="B20" s="10"/>
      <c r="C20" s="14" t="s">
        <v>1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2"/>
      <c r="R20" s="13"/>
      <c r="S20" s="13"/>
      <c r="T20" s="13"/>
    </row>
    <row r="21" s="9" customFormat="1" ht="24.75">
      <c r="B21" s="10"/>
      <c r="C21" s="14" t="s">
        <v>2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2"/>
      <c r="R21" s="13"/>
      <c r="S21" s="13"/>
      <c r="T21" s="13"/>
    </row>
    <row r="22" s="9" customFormat="1" ht="24.75">
      <c r="B22" s="10"/>
      <c r="C22" s="15" t="s">
        <v>3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2"/>
      <c r="R22" s="13"/>
      <c r="S22" s="13"/>
      <c r="T22" s="13"/>
    </row>
    <row r="23" s="9" customFormat="1" ht="24.75">
      <c r="B23" s="10"/>
      <c r="C23" s="11" t="s">
        <v>4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2"/>
      <c r="R23" s="13"/>
      <c r="S23" s="13"/>
      <c r="T23" s="13"/>
    </row>
    <row r="24" s="9" customFormat="1" ht="24.75">
      <c r="B24" s="10"/>
      <c r="C24" s="16" t="s">
        <v>57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2"/>
      <c r="R24" s="13"/>
      <c r="S24" s="13"/>
      <c r="T24" s="13"/>
    </row>
    <row r="25" s="7" customFormat="1">
      <c r="A25" s="17"/>
      <c r="B25" s="18"/>
      <c r="C25" s="19" t="s">
        <v>6</v>
      </c>
      <c r="D25" s="20" t="s">
        <v>7</v>
      </c>
      <c r="E25" s="21" t="s">
        <v>8</v>
      </c>
      <c r="F25" s="22" t="s">
        <v>9</v>
      </c>
      <c r="G25" s="23" t="s">
        <v>10</v>
      </c>
      <c r="H25" s="19" t="s">
        <v>7</v>
      </c>
      <c r="I25" s="19" t="s">
        <v>11</v>
      </c>
      <c r="J25" s="19" t="s">
        <v>11</v>
      </c>
      <c r="K25" s="19" t="s">
        <v>12</v>
      </c>
      <c r="L25" s="19" t="s">
        <v>13</v>
      </c>
      <c r="M25" s="19" t="s">
        <v>14</v>
      </c>
      <c r="N25" s="24" t="s">
        <v>15</v>
      </c>
      <c r="O25" s="19" t="s">
        <v>7</v>
      </c>
      <c r="P25" s="25" t="s">
        <v>16</v>
      </c>
      <c r="Q25" s="25" t="s">
        <v>17</v>
      </c>
      <c r="R25" s="26" t="s">
        <v>18</v>
      </c>
      <c r="S25" s="26" t="s">
        <v>19</v>
      </c>
      <c r="T25" s="26" t="s">
        <v>20</v>
      </c>
      <c r="U25" s="25" t="s">
        <v>21</v>
      </c>
      <c r="V25" s="25" t="s">
        <v>22</v>
      </c>
      <c r="W25" s="25" t="s">
        <v>23</v>
      </c>
      <c r="X25" s="25" t="s">
        <v>20</v>
      </c>
      <c r="Y25" s="25" t="s">
        <v>24</v>
      </c>
      <c r="Z25" s="1"/>
      <c r="AA25" s="1"/>
      <c r="AB25" s="27"/>
      <c r="AC25" s="27"/>
      <c r="AD25" s="7"/>
    </row>
    <row r="26" s="7" customFormat="1">
      <c r="A26" s="28"/>
      <c r="B26" s="29"/>
      <c r="C26" s="30"/>
      <c r="D26" s="31" t="s">
        <v>25</v>
      </c>
      <c r="E26" s="32" t="s">
        <v>26</v>
      </c>
      <c r="F26" s="33" t="s">
        <v>27</v>
      </c>
      <c r="G26" s="34" t="s">
        <v>28</v>
      </c>
      <c r="H26" s="35" t="s">
        <v>25</v>
      </c>
      <c r="I26" s="36" t="s">
        <v>29</v>
      </c>
      <c r="J26" s="36" t="s">
        <v>30</v>
      </c>
      <c r="K26" s="35" t="s">
        <v>31</v>
      </c>
      <c r="L26" s="35" t="s">
        <v>14</v>
      </c>
      <c r="M26" s="35" t="s">
        <v>32</v>
      </c>
      <c r="N26" s="37" t="s">
        <v>14</v>
      </c>
      <c r="O26" s="35" t="s">
        <v>33</v>
      </c>
      <c r="P26" s="38" t="s">
        <v>34</v>
      </c>
      <c r="Q26" s="38" t="s">
        <v>35</v>
      </c>
      <c r="R26" s="39" t="s">
        <v>36</v>
      </c>
      <c r="S26" s="39" t="s">
        <v>36</v>
      </c>
      <c r="T26" s="39" t="s">
        <v>36</v>
      </c>
      <c r="U26" s="38" t="s">
        <v>37</v>
      </c>
      <c r="V26" s="38" t="s">
        <v>38</v>
      </c>
      <c r="W26" s="38"/>
      <c r="X26" s="38">
        <v>21732</v>
      </c>
      <c r="Y26" s="38"/>
      <c r="Z26" s="1"/>
      <c r="AA26" s="1"/>
      <c r="AB26" s="27"/>
      <c r="AC26" s="27"/>
      <c r="AD26" s="7"/>
    </row>
    <row r="27" s="7" customFormat="1">
      <c r="A27" s="28"/>
      <c r="B27" s="29"/>
      <c r="C27" s="30"/>
      <c r="D27" s="31" t="s">
        <v>39</v>
      </c>
      <c r="E27" s="32"/>
      <c r="F27" s="33" t="s">
        <v>29</v>
      </c>
      <c r="G27" s="34"/>
      <c r="H27" s="35" t="s">
        <v>40</v>
      </c>
      <c r="I27" s="36"/>
      <c r="J27" s="36"/>
      <c r="K27" s="36" t="s">
        <v>29</v>
      </c>
      <c r="L27" s="36" t="s">
        <v>29</v>
      </c>
      <c r="M27" s="36" t="s">
        <v>29</v>
      </c>
      <c r="N27" s="40" t="s">
        <v>29</v>
      </c>
      <c r="O27" s="35" t="s">
        <v>25</v>
      </c>
      <c r="P27" s="25"/>
      <c r="Q27" s="25"/>
      <c r="R27" s="26"/>
      <c r="S27" s="41">
        <v>2024</v>
      </c>
      <c r="T27" s="26"/>
      <c r="U27" s="25"/>
      <c r="V27" s="25"/>
      <c r="W27" s="25"/>
      <c r="X27" s="25"/>
      <c r="Y27" s="25"/>
      <c r="Z27" s="1"/>
      <c r="AA27" s="1"/>
      <c r="AB27" s="27"/>
      <c r="AC27" s="27" t="s">
        <v>20</v>
      </c>
      <c r="AD27" s="7"/>
    </row>
    <row r="28" s="7" customFormat="1">
      <c r="A28" s="42" t="s">
        <v>41</v>
      </c>
      <c r="B28" s="43" t="s">
        <v>42</v>
      </c>
      <c r="C28" s="30"/>
      <c r="D28" s="31" t="s">
        <v>43</v>
      </c>
      <c r="E28" s="32"/>
      <c r="F28" s="33" t="s">
        <v>43</v>
      </c>
      <c r="G28" s="34"/>
      <c r="H28" s="35" t="s">
        <v>43</v>
      </c>
      <c r="I28" s="36"/>
      <c r="J28" s="36"/>
      <c r="K28" s="35" t="s">
        <v>43</v>
      </c>
      <c r="L28" s="35" t="s">
        <v>43</v>
      </c>
      <c r="M28" s="35"/>
      <c r="N28" s="37" t="s">
        <v>43</v>
      </c>
      <c r="O28" s="35" t="s">
        <v>43</v>
      </c>
      <c r="P28" s="25"/>
      <c r="Q28" s="25"/>
      <c r="R28" s="26"/>
      <c r="S28" s="26"/>
      <c r="T28" s="26"/>
      <c r="U28" s="25"/>
      <c r="V28" s="25"/>
      <c r="W28" s="25"/>
      <c r="X28" s="44"/>
      <c r="Y28" s="44"/>
      <c r="Z28" s="8" t="s">
        <v>44</v>
      </c>
      <c r="AA28" s="8">
        <v>21732</v>
      </c>
      <c r="AB28" s="8" t="s">
        <v>45</v>
      </c>
      <c r="AC28" s="8" t="s">
        <v>46</v>
      </c>
      <c r="AD28" s="45" t="s">
        <v>47</v>
      </c>
    </row>
    <row r="29" s="1" customFormat="1">
      <c r="A29" s="46" t="s">
        <v>48</v>
      </c>
      <c r="B29" s="47">
        <v>9786161855550</v>
      </c>
      <c r="C29" s="48" t="s">
        <v>49</v>
      </c>
      <c r="D29" s="49">
        <v>4000</v>
      </c>
      <c r="E29" s="50">
        <v>44986</v>
      </c>
      <c r="F29" s="48">
        <v>275</v>
      </c>
      <c r="G29" s="51">
        <v>5.9999999999999998e-02</v>
      </c>
      <c r="H29" s="49">
        <v>0</v>
      </c>
      <c r="I29" s="48">
        <f t="shared" si="0"/>
        <v>0</v>
      </c>
      <c r="J29" s="48">
        <f t="shared" ref="J29:J31" si="3">I29/0.218877</f>
        <v>0</v>
      </c>
      <c r="K29" s="52">
        <v>52940</v>
      </c>
      <c r="L29" s="48">
        <f>N11</f>
        <v>-24205.75</v>
      </c>
      <c r="M29" s="48">
        <v>24205.75</v>
      </c>
      <c r="N29" s="88">
        <f>L29-I29-I30-I31+M29</f>
        <v>-22888.25</v>
      </c>
      <c r="O29" s="49">
        <f t="shared" ref="O29:O31" si="4">O11-H29</f>
        <v>0</v>
      </c>
      <c r="P29" s="54">
        <v>1</v>
      </c>
      <c r="Q29" s="46" t="s">
        <v>48</v>
      </c>
      <c r="R29" s="49">
        <f t="shared" ref="R29:R30" si="5">O11</f>
        <v>0</v>
      </c>
      <c r="S29" s="49">
        <f t="shared" ref="S29:S61" si="6">H29</f>
        <v>0</v>
      </c>
      <c r="T29" s="49">
        <f t="shared" ref="T29:T57" si="7">R29-S29</f>
        <v>0</v>
      </c>
      <c r="U29" s="48">
        <f t="shared" ref="U29:U32" si="8">S29*G29*F29</f>
        <v>0</v>
      </c>
      <c r="V29" s="48"/>
      <c r="W29" s="48">
        <f t="shared" ref="W29:W61" si="9">U29-V29</f>
        <v>0</v>
      </c>
      <c r="X29" s="48"/>
      <c r="Y29" s="48" t="s">
        <v>58</v>
      </c>
      <c r="Z29" s="56">
        <f t="shared" ref="Z29:Z57" si="10">+X29/107%</f>
        <v>0</v>
      </c>
      <c r="AA29" s="57">
        <f t="shared" ref="AA29:AA57" si="11">AB29*107%</f>
        <v>0</v>
      </c>
      <c r="AB29" s="56">
        <f t="shared" ref="AB29:AB57" si="12">+Z29-W29</f>
        <v>0</v>
      </c>
      <c r="AC29" s="56">
        <f>+T29*275*0.06</f>
        <v>0</v>
      </c>
      <c r="AD29" s="56">
        <f t="shared" ref="AD29:AD57" si="13">+AB29-AC29</f>
        <v>0</v>
      </c>
    </row>
    <row r="30" s="1" customFormat="1">
      <c r="A30" s="58" t="s">
        <v>48</v>
      </c>
      <c r="B30" s="59">
        <v>9786161855550</v>
      </c>
      <c r="C30" s="60" t="s">
        <v>50</v>
      </c>
      <c r="D30" s="61">
        <v>800</v>
      </c>
      <c r="E30" s="62">
        <v>44986</v>
      </c>
      <c r="F30" s="60">
        <v>275</v>
      </c>
      <c r="G30" s="63">
        <v>7.0000000000000007e-02</v>
      </c>
      <c r="H30" s="61">
        <v>221</v>
      </c>
      <c r="I30" s="60">
        <f t="shared" si="0"/>
        <v>4254.25</v>
      </c>
      <c r="J30" s="60">
        <f t="shared" si="3"/>
        <v>19436.715598258383</v>
      </c>
      <c r="K30" s="64" t="s">
        <v>29</v>
      </c>
      <c r="L30" s="60"/>
      <c r="M30" s="60"/>
      <c r="N30" s="65"/>
      <c r="O30" s="61">
        <f t="shared" si="4"/>
        <v>0</v>
      </c>
      <c r="P30" s="64">
        <v>1</v>
      </c>
      <c r="Q30" s="58" t="s">
        <v>48</v>
      </c>
      <c r="R30" s="61">
        <f t="shared" si="5"/>
        <v>221</v>
      </c>
      <c r="S30" s="61">
        <f t="shared" si="6"/>
        <v>221</v>
      </c>
      <c r="T30" s="61">
        <f t="shared" si="7"/>
        <v>0</v>
      </c>
      <c r="U30" s="60">
        <f t="shared" si="8"/>
        <v>4254.25</v>
      </c>
      <c r="V30" s="60"/>
      <c r="W30" s="60">
        <f t="shared" si="9"/>
        <v>4254.25</v>
      </c>
      <c r="X30" s="60">
        <v>4552.0500000000029</v>
      </c>
      <c r="Y30" s="60" t="s">
        <v>58</v>
      </c>
      <c r="Z30" s="56">
        <f t="shared" si="10"/>
        <v>4254.2523364486005</v>
      </c>
      <c r="AA30" s="57">
        <f t="shared" si="11"/>
        <v>2.5000000025829651e-03</v>
      </c>
      <c r="AB30" s="56">
        <f t="shared" si="12"/>
        <v>2.3364486005448271e-03</v>
      </c>
      <c r="AC30" s="56">
        <f t="shared" ref="AC30:AC32" si="14">+T30*275*0.07</f>
        <v>0</v>
      </c>
      <c r="AD30" s="56">
        <f t="shared" si="13"/>
        <v>2.3364486005448271e-03</v>
      </c>
    </row>
    <row r="31" s="1" customFormat="1">
      <c r="A31" s="58" t="s">
        <v>51</v>
      </c>
      <c r="B31" s="59">
        <v>9786161855550</v>
      </c>
      <c r="C31" s="60"/>
      <c r="D31" s="61">
        <v>2050</v>
      </c>
      <c r="E31" s="62">
        <v>45047</v>
      </c>
      <c r="F31" s="60">
        <v>275</v>
      </c>
      <c r="G31" s="63">
        <v>7.0000000000000007e-02</v>
      </c>
      <c r="H31" s="61">
        <v>968</v>
      </c>
      <c r="I31" s="60">
        <f t="shared" si="0"/>
        <v>18634</v>
      </c>
      <c r="J31" s="60">
        <f t="shared" si="3"/>
        <v>85134.573299158888</v>
      </c>
      <c r="K31" s="67">
        <v>200000</v>
      </c>
      <c r="L31" s="60"/>
      <c r="M31" s="60"/>
      <c r="N31" s="65"/>
      <c r="O31" s="89">
        <f t="shared" si="4"/>
        <v>1082</v>
      </c>
      <c r="P31" s="64">
        <v>2</v>
      </c>
      <c r="Q31" s="58" t="s">
        <v>51</v>
      </c>
      <c r="R31" s="61">
        <f>+O13</f>
        <v>2050</v>
      </c>
      <c r="S31" s="61">
        <f t="shared" si="6"/>
        <v>968</v>
      </c>
      <c r="T31" s="61">
        <f t="shared" si="7"/>
        <v>1082</v>
      </c>
      <c r="U31" s="60">
        <f t="shared" si="8"/>
        <v>18634</v>
      </c>
      <c r="V31" s="60"/>
      <c r="W31" s="60">
        <f t="shared" si="9"/>
        <v>18634</v>
      </c>
      <c r="X31" s="60">
        <v>42224.879999999997</v>
      </c>
      <c r="Y31" s="60" t="s">
        <v>59</v>
      </c>
      <c r="Z31" s="56">
        <f t="shared" si="10"/>
        <v>39462.504672897194</v>
      </c>
      <c r="AA31" s="57">
        <f t="shared" si="11"/>
        <v>22286.5</v>
      </c>
      <c r="AB31" s="56">
        <f t="shared" si="12"/>
        <v>20828.504672897194</v>
      </c>
      <c r="AC31" s="56">
        <f t="shared" si="14"/>
        <v>20828.500000000004</v>
      </c>
      <c r="AD31" s="56">
        <f t="shared" si="13"/>
        <v>4.6728971901757177e-03</v>
      </c>
    </row>
    <row r="32" s="1" customFormat="1">
      <c r="A32" s="58" t="s">
        <v>52</v>
      </c>
      <c r="B32" s="59">
        <v>9786161855550</v>
      </c>
      <c r="C32" s="60"/>
      <c r="D32" s="61">
        <v>1300</v>
      </c>
      <c r="E32" s="62">
        <v>45170</v>
      </c>
      <c r="F32" s="60">
        <v>275</v>
      </c>
      <c r="G32" s="63">
        <v>7.0000000000000007e-02</v>
      </c>
      <c r="H32" s="61">
        <v>0</v>
      </c>
      <c r="I32" s="60">
        <f t="shared" si="0"/>
        <v>0</v>
      </c>
      <c r="J32" s="60">
        <f>I32/0.205195</f>
        <v>0</v>
      </c>
      <c r="K32" s="68" t="s">
        <v>30</v>
      </c>
      <c r="L32" s="60"/>
      <c r="M32" s="60"/>
      <c r="N32" s="65"/>
      <c r="O32" s="89">
        <f>D32-H32</f>
        <v>1300</v>
      </c>
      <c r="P32" s="64">
        <v>3</v>
      </c>
      <c r="Q32" s="58" t="s">
        <v>52</v>
      </c>
      <c r="R32" s="61">
        <f>+D32</f>
        <v>1300</v>
      </c>
      <c r="S32" s="61">
        <f t="shared" si="6"/>
        <v>0</v>
      </c>
      <c r="T32" s="61">
        <f t="shared" si="7"/>
        <v>1300</v>
      </c>
      <c r="U32" s="60">
        <f t="shared" si="8"/>
        <v>0</v>
      </c>
      <c r="V32" s="60"/>
      <c r="W32" s="60">
        <f t="shared" si="9"/>
        <v>0</v>
      </c>
      <c r="X32" s="90">
        <v>26776.75</v>
      </c>
      <c r="Y32" s="90" t="s">
        <v>60</v>
      </c>
      <c r="Z32" s="56">
        <f t="shared" si="10"/>
        <v>25025</v>
      </c>
      <c r="AA32" s="57">
        <f t="shared" si="11"/>
        <v>26776.75</v>
      </c>
      <c r="AB32" s="56">
        <f t="shared" si="12"/>
        <v>25025</v>
      </c>
      <c r="AC32" s="56">
        <f t="shared" si="14"/>
        <v>25025.000000000004</v>
      </c>
      <c r="AD32" s="56">
        <f t="shared" si="13"/>
        <v>0</v>
      </c>
    </row>
    <row r="33" s="1" customFormat="1">
      <c r="B33" s="59"/>
      <c r="C33" s="60"/>
      <c r="D33" s="61"/>
      <c r="E33" s="62"/>
      <c r="F33" s="60"/>
      <c r="G33" s="63"/>
      <c r="H33" s="60"/>
      <c r="I33" s="60"/>
      <c r="J33" s="60"/>
      <c r="K33" s="69" t="s">
        <v>53</v>
      </c>
      <c r="L33" s="60"/>
      <c r="M33" s="60"/>
      <c r="N33" s="65"/>
      <c r="O33" s="61"/>
      <c r="P33" s="64"/>
      <c r="Q33" s="58"/>
      <c r="R33" s="61"/>
      <c r="S33" s="61"/>
      <c r="T33" s="61"/>
      <c r="U33" s="60"/>
      <c r="V33" s="60"/>
      <c r="W33" s="60"/>
      <c r="X33" s="60"/>
      <c r="Y33" s="60"/>
    </row>
    <row r="34" s="1" customFormat="1">
      <c r="B34" s="59"/>
      <c r="C34" s="58" t="s">
        <v>54</v>
      </c>
      <c r="D34" s="61"/>
      <c r="E34" s="71"/>
      <c r="F34" s="60"/>
      <c r="G34" s="63"/>
      <c r="H34" s="58"/>
      <c r="I34" s="58"/>
      <c r="J34" s="58"/>
      <c r="K34" s="8"/>
      <c r="L34" s="58"/>
      <c r="M34" s="58"/>
      <c r="N34" s="72"/>
      <c r="O34" s="61"/>
      <c r="P34" s="64"/>
      <c r="Q34" s="58"/>
      <c r="R34" s="73"/>
      <c r="S34" s="73"/>
      <c r="T34" s="74"/>
      <c r="U34" s="73"/>
      <c r="V34" s="73"/>
      <c r="W34" s="58"/>
      <c r="X34" s="60"/>
      <c r="Y34" s="60"/>
    </row>
    <row r="35" s="1" customFormat="1">
      <c r="B35" s="75"/>
      <c r="C35" s="81" t="s">
        <v>55</v>
      </c>
      <c r="D35" s="77"/>
      <c r="E35" s="78"/>
      <c r="F35" s="79"/>
      <c r="G35" s="80"/>
      <c r="H35" s="81"/>
      <c r="I35" s="81"/>
      <c r="J35" s="81"/>
      <c r="K35" s="82"/>
      <c r="L35" s="81"/>
      <c r="M35" s="81"/>
      <c r="N35" s="83"/>
      <c r="O35" s="77"/>
      <c r="P35" s="82"/>
      <c r="Q35" s="81"/>
      <c r="R35" s="77"/>
      <c r="S35" s="77"/>
      <c r="T35" s="77"/>
      <c r="U35" s="79"/>
      <c r="V35" s="79"/>
      <c r="W35" s="79"/>
      <c r="X35" s="79"/>
      <c r="Y35" s="79"/>
    </row>
    <row r="36" s="1" customFormat="1">
      <c r="B36" s="47">
        <v>9786161856618</v>
      </c>
      <c r="C36" s="48"/>
      <c r="D36" s="49"/>
      <c r="E36" s="50">
        <v>45352</v>
      </c>
      <c r="G36" s="91">
        <v>0.25</v>
      </c>
      <c r="H36" s="49">
        <v>127</v>
      </c>
      <c r="I36" s="48">
        <v>3915.6900000000001</v>
      </c>
      <c r="J36" s="48">
        <f>I36/0.218877</f>
        <v>17889.910771803341</v>
      </c>
      <c r="K36" s="52"/>
      <c r="L36" s="48">
        <v>-8811.1100000000006</v>
      </c>
      <c r="M36" s="48">
        <v>8811.1100000000006</v>
      </c>
      <c r="N36" s="92">
        <f>L36-I36+M36</f>
        <v>-3915.6900000000005</v>
      </c>
      <c r="O36" s="49"/>
      <c r="P36" s="54"/>
      <c r="Q36" s="46" t="s">
        <v>61</v>
      </c>
      <c r="R36" s="49"/>
      <c r="S36" s="49">
        <f t="shared" si="6"/>
        <v>127</v>
      </c>
      <c r="T36" s="49"/>
      <c r="U36" s="48">
        <f>I36</f>
        <v>3915.6900000000001</v>
      </c>
      <c r="V36" s="48"/>
      <c r="W36" s="48">
        <f t="shared" si="9"/>
        <v>3915.6900000000001</v>
      </c>
      <c r="X36" s="48"/>
      <c r="Y36" s="48"/>
    </row>
    <row r="37" s="1" customFormat="1">
      <c r="B37" s="59"/>
      <c r="C37" s="60"/>
      <c r="D37" s="61"/>
      <c r="E37" s="62"/>
      <c r="G37" s="67" t="s">
        <v>62</v>
      </c>
      <c r="H37" s="60"/>
      <c r="I37" s="60"/>
      <c r="J37" s="60"/>
      <c r="K37" s="64"/>
      <c r="L37" s="60"/>
      <c r="M37" s="60"/>
      <c r="N37" s="65"/>
      <c r="O37" s="61"/>
      <c r="P37" s="64"/>
      <c r="Q37" s="58"/>
      <c r="R37" s="61"/>
      <c r="S37" s="61"/>
      <c r="T37" s="61"/>
      <c r="U37" s="60"/>
      <c r="V37" s="60"/>
      <c r="W37" s="60"/>
      <c r="X37" s="60"/>
      <c r="Y37" s="60"/>
    </row>
    <row r="38" s="1" customFormat="1">
      <c r="B38" s="59"/>
      <c r="C38" s="60"/>
      <c r="D38" s="61"/>
      <c r="E38" s="62"/>
      <c r="G38" s="67"/>
      <c r="H38" s="60"/>
      <c r="I38" s="60"/>
      <c r="J38" s="60"/>
      <c r="K38" s="67"/>
      <c r="L38" s="60"/>
      <c r="M38" s="60"/>
      <c r="N38" s="65"/>
      <c r="O38" s="61"/>
      <c r="P38" s="64"/>
      <c r="Q38" s="58"/>
      <c r="R38" s="61"/>
      <c r="S38" s="61"/>
      <c r="T38" s="61"/>
      <c r="U38" s="60"/>
      <c r="V38" s="60"/>
      <c r="W38" s="60"/>
      <c r="X38" s="60"/>
      <c r="Y38" s="60"/>
    </row>
    <row r="39" s="1" customFormat="1">
      <c r="B39" s="59"/>
      <c r="C39" s="60"/>
      <c r="D39" s="61"/>
      <c r="E39" s="62"/>
      <c r="F39" s="67"/>
      <c r="G39" s="63"/>
      <c r="H39" s="60"/>
      <c r="I39" s="60"/>
      <c r="J39" s="60"/>
      <c r="K39" s="68"/>
      <c r="L39" s="60"/>
      <c r="M39" s="60"/>
      <c r="N39" s="65"/>
      <c r="O39" s="61"/>
      <c r="P39" s="64"/>
      <c r="Q39" s="58"/>
      <c r="R39" s="61"/>
      <c r="S39" s="61"/>
      <c r="T39" s="61"/>
      <c r="U39" s="60"/>
      <c r="V39" s="60"/>
      <c r="W39" s="60"/>
      <c r="X39" s="60"/>
      <c r="Y39" s="60"/>
    </row>
    <row r="40" s="1" customFormat="1">
      <c r="B40" s="75"/>
      <c r="C40" s="81"/>
      <c r="D40" s="77"/>
      <c r="E40" s="78"/>
      <c r="F40" s="93"/>
      <c r="G40" s="80"/>
      <c r="H40" s="81"/>
      <c r="I40" s="81"/>
      <c r="J40" s="81"/>
      <c r="K40" s="82"/>
      <c r="L40" s="81"/>
      <c r="M40" s="81"/>
      <c r="N40" s="83"/>
      <c r="O40" s="77"/>
      <c r="P40" s="82"/>
      <c r="Q40" s="81"/>
      <c r="R40" s="77"/>
      <c r="S40" s="77"/>
      <c r="T40" s="77"/>
      <c r="U40" s="79"/>
      <c r="V40" s="79"/>
      <c r="W40" s="79"/>
      <c r="X40" s="79"/>
      <c r="Y40" s="79"/>
    </row>
    <row r="41" s="7" customFormat="1">
      <c r="B41" s="84"/>
      <c r="C41" s="7"/>
      <c r="D41" s="85"/>
      <c r="F41" s="86"/>
      <c r="G41" s="87" t="s">
        <v>63</v>
      </c>
      <c r="H41" s="7"/>
      <c r="I41" s="7"/>
      <c r="J41" s="7"/>
      <c r="K41" s="45"/>
      <c r="L41" s="7"/>
      <c r="M41" s="7"/>
      <c r="N41" s="7"/>
      <c r="O41" s="7"/>
      <c r="P41" s="45"/>
      <c r="R41" s="85"/>
      <c r="S41" s="85"/>
      <c r="T41" s="85"/>
    </row>
    <row r="42" s="9" customFormat="1" ht="24.75">
      <c r="B42" s="10"/>
      <c r="C42" s="11" t="s">
        <v>0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2"/>
      <c r="R42" s="13"/>
      <c r="S42" s="13"/>
      <c r="T42" s="13"/>
    </row>
    <row r="43" s="9" customFormat="1" ht="24.75">
      <c r="B43" s="10"/>
      <c r="C43" s="14" t="s">
        <v>1</v>
      </c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2"/>
      <c r="R43" s="13"/>
      <c r="S43" s="13"/>
      <c r="T43" s="13"/>
    </row>
    <row r="44" s="9" customFormat="1" ht="24.75">
      <c r="B44" s="10"/>
      <c r="C44" s="14" t="s">
        <v>2</v>
      </c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2"/>
      <c r="R44" s="13"/>
      <c r="S44" s="13"/>
      <c r="T44" s="13"/>
    </row>
    <row r="45" s="9" customFormat="1" ht="24.75">
      <c r="B45" s="10"/>
      <c r="C45" s="15" t="s">
        <v>3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2"/>
      <c r="R45" s="13"/>
      <c r="S45" s="13"/>
      <c r="T45" s="13"/>
    </row>
    <row r="46" s="9" customFormat="1" ht="24.75">
      <c r="B46" s="10"/>
      <c r="C46" s="11" t="s">
        <v>4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2"/>
      <c r="R46" s="13"/>
      <c r="S46" s="13"/>
      <c r="T46" s="13"/>
    </row>
    <row r="47" s="9" customFormat="1" ht="24.75">
      <c r="B47" s="10"/>
      <c r="C47" s="94" t="s">
        <v>64</v>
      </c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12"/>
      <c r="R47" s="13"/>
      <c r="S47" s="13"/>
      <c r="T47" s="13"/>
    </row>
    <row r="48" s="9" customFormat="1" ht="24.75">
      <c r="B48" s="95">
        <v>3</v>
      </c>
      <c r="C48" s="96">
        <v>2</v>
      </c>
      <c r="D48" s="96">
        <v>1</v>
      </c>
      <c r="E48" s="96">
        <v>4</v>
      </c>
      <c r="F48" s="96">
        <v>5</v>
      </c>
      <c r="G48" s="96">
        <v>6</v>
      </c>
      <c r="H48" s="96">
        <v>7</v>
      </c>
      <c r="I48" s="96">
        <v>9</v>
      </c>
      <c r="J48" s="96">
        <v>10</v>
      </c>
      <c r="K48" s="96">
        <v>11</v>
      </c>
      <c r="L48" s="96">
        <v>12</v>
      </c>
      <c r="M48" s="96">
        <v>13</v>
      </c>
      <c r="N48" s="96">
        <v>14</v>
      </c>
      <c r="O48" s="96">
        <v>15</v>
      </c>
      <c r="P48" s="12"/>
      <c r="R48" s="13"/>
      <c r="S48" s="13"/>
      <c r="T48" s="13"/>
    </row>
    <row r="49" s="9" customFormat="1" ht="42.75" customHeight="1">
      <c r="B49" s="95"/>
      <c r="C49" s="96"/>
      <c r="D49" s="96"/>
      <c r="E49" s="96"/>
      <c r="F49" s="96"/>
      <c r="G49" s="96"/>
      <c r="H49" s="96"/>
      <c r="I49" s="97" t="s">
        <v>65</v>
      </c>
      <c r="J49" s="98" t="s">
        <v>66</v>
      </c>
      <c r="K49" s="99" t="s">
        <v>67</v>
      </c>
      <c r="L49" s="100" t="s">
        <v>68</v>
      </c>
      <c r="M49" s="96"/>
      <c r="N49" s="101" t="s">
        <v>69</v>
      </c>
      <c r="O49" s="101" t="s">
        <v>70</v>
      </c>
      <c r="P49" s="12"/>
      <c r="R49" s="13"/>
      <c r="S49" s="13"/>
      <c r="T49" s="13"/>
    </row>
    <row r="50" s="7" customFormat="1">
      <c r="A50" s="17"/>
      <c r="B50" s="18"/>
      <c r="C50" s="19" t="s">
        <v>6</v>
      </c>
      <c r="D50" s="20" t="s">
        <v>7</v>
      </c>
      <c r="E50" s="21" t="s">
        <v>8</v>
      </c>
      <c r="F50" s="22" t="s">
        <v>9</v>
      </c>
      <c r="G50" s="23" t="s">
        <v>10</v>
      </c>
      <c r="H50" s="19" t="s">
        <v>7</v>
      </c>
      <c r="I50" s="19" t="s">
        <v>11</v>
      </c>
      <c r="J50" s="19" t="s">
        <v>11</v>
      </c>
      <c r="K50" s="19" t="s">
        <v>12</v>
      </c>
      <c r="L50" s="19" t="s">
        <v>13</v>
      </c>
      <c r="M50" s="19" t="s">
        <v>14</v>
      </c>
      <c r="N50" s="24" t="s">
        <v>15</v>
      </c>
      <c r="O50" s="19" t="s">
        <v>7</v>
      </c>
      <c r="P50" s="25" t="s">
        <v>16</v>
      </c>
      <c r="Q50" s="25" t="s">
        <v>17</v>
      </c>
      <c r="R50" s="26" t="s">
        <v>18</v>
      </c>
      <c r="S50" s="26" t="s">
        <v>19</v>
      </c>
      <c r="T50" s="26" t="s">
        <v>20</v>
      </c>
      <c r="U50" s="25" t="s">
        <v>21</v>
      </c>
      <c r="V50" s="25" t="s">
        <v>22</v>
      </c>
      <c r="W50" s="25" t="s">
        <v>23</v>
      </c>
      <c r="X50" s="25" t="s">
        <v>20</v>
      </c>
      <c r="Y50" s="25" t="s">
        <v>24</v>
      </c>
      <c r="Z50" s="1"/>
      <c r="AA50" s="1"/>
      <c r="AB50" s="27"/>
      <c r="AC50" s="27"/>
      <c r="AD50" s="7"/>
    </row>
    <row r="51" s="7" customFormat="1">
      <c r="A51" s="28"/>
      <c r="B51" s="29"/>
      <c r="C51" s="30"/>
      <c r="D51" s="31" t="s">
        <v>25</v>
      </c>
      <c r="E51" s="32" t="s">
        <v>26</v>
      </c>
      <c r="F51" s="33" t="s">
        <v>27</v>
      </c>
      <c r="G51" s="34" t="s">
        <v>28</v>
      </c>
      <c r="H51" s="35" t="s">
        <v>25</v>
      </c>
      <c r="I51" s="36" t="s">
        <v>29</v>
      </c>
      <c r="J51" s="36" t="s">
        <v>30</v>
      </c>
      <c r="K51" s="35" t="s">
        <v>31</v>
      </c>
      <c r="L51" s="35" t="s">
        <v>14</v>
      </c>
      <c r="M51" s="35" t="s">
        <v>32</v>
      </c>
      <c r="N51" s="37" t="s">
        <v>14</v>
      </c>
      <c r="O51" s="35" t="s">
        <v>33</v>
      </c>
      <c r="P51" s="38" t="s">
        <v>34</v>
      </c>
      <c r="Q51" s="38" t="s">
        <v>35</v>
      </c>
      <c r="R51" s="39" t="s">
        <v>36</v>
      </c>
      <c r="S51" s="39" t="s">
        <v>36</v>
      </c>
      <c r="T51" s="39" t="s">
        <v>36</v>
      </c>
      <c r="U51" s="38" t="s">
        <v>37</v>
      </c>
      <c r="V51" s="38" t="s">
        <v>38</v>
      </c>
      <c r="W51" s="38"/>
      <c r="X51" s="38">
        <v>21732</v>
      </c>
      <c r="Y51" s="38"/>
      <c r="Z51" s="1"/>
      <c r="AA51" s="1"/>
      <c r="AB51" s="27"/>
      <c r="AC51" s="27"/>
      <c r="AD51" s="7"/>
    </row>
    <row r="52" s="7" customFormat="1">
      <c r="A52" s="28"/>
      <c r="B52" s="29"/>
      <c r="C52" s="30"/>
      <c r="D52" s="31" t="s">
        <v>39</v>
      </c>
      <c r="E52" s="32"/>
      <c r="F52" s="33" t="s">
        <v>29</v>
      </c>
      <c r="G52" s="34"/>
      <c r="H52" s="35" t="s">
        <v>40</v>
      </c>
      <c r="I52" s="36"/>
      <c r="J52" s="36"/>
      <c r="K52" s="36" t="s">
        <v>29</v>
      </c>
      <c r="L52" s="36" t="s">
        <v>29</v>
      </c>
      <c r="M52" s="36" t="s">
        <v>29</v>
      </c>
      <c r="N52" s="40" t="s">
        <v>29</v>
      </c>
      <c r="O52" s="35" t="s">
        <v>25</v>
      </c>
      <c r="P52" s="25"/>
      <c r="Q52" s="25"/>
      <c r="R52" s="26"/>
      <c r="S52" s="41">
        <v>2024</v>
      </c>
      <c r="T52" s="26"/>
      <c r="U52" s="25"/>
      <c r="V52" s="25"/>
      <c r="W52" s="25"/>
      <c r="X52" s="25"/>
      <c r="Y52" s="25"/>
      <c r="Z52" s="1"/>
      <c r="AA52" s="1"/>
      <c r="AB52" s="27"/>
      <c r="AC52" s="27" t="s">
        <v>20</v>
      </c>
      <c r="AD52" s="7"/>
    </row>
    <row r="53" s="7" customFormat="1">
      <c r="A53" s="42" t="s">
        <v>41</v>
      </c>
      <c r="B53" s="43" t="s">
        <v>42</v>
      </c>
      <c r="C53" s="30"/>
      <c r="D53" s="31" t="s">
        <v>43</v>
      </c>
      <c r="E53" s="32"/>
      <c r="F53" s="33" t="s">
        <v>43</v>
      </c>
      <c r="G53" s="34"/>
      <c r="H53" s="35" t="s">
        <v>43</v>
      </c>
      <c r="I53" s="36"/>
      <c r="J53" s="36"/>
      <c r="K53" s="35" t="s">
        <v>43</v>
      </c>
      <c r="L53" s="35" t="s">
        <v>43</v>
      </c>
      <c r="M53" s="35"/>
      <c r="N53" s="37" t="s">
        <v>43</v>
      </c>
      <c r="O53" s="35" t="s">
        <v>43</v>
      </c>
      <c r="P53" s="25"/>
      <c r="Q53" s="25"/>
      <c r="R53" s="26"/>
      <c r="S53" s="26"/>
      <c r="T53" s="26"/>
      <c r="U53" s="25"/>
      <c r="V53" s="25"/>
      <c r="W53" s="25"/>
      <c r="X53" s="44"/>
      <c r="Y53" s="44"/>
      <c r="Z53" s="8" t="s">
        <v>44</v>
      </c>
      <c r="AA53" s="8">
        <v>21732</v>
      </c>
      <c r="AB53" s="8" t="s">
        <v>45</v>
      </c>
      <c r="AC53" s="8" t="s">
        <v>46</v>
      </c>
      <c r="AD53" s="45" t="s">
        <v>47</v>
      </c>
    </row>
    <row r="54" s="1" customFormat="1">
      <c r="A54" s="1" t="s">
        <v>48</v>
      </c>
      <c r="B54" s="47">
        <v>9786161855550</v>
      </c>
      <c r="C54" s="48" t="s">
        <v>49</v>
      </c>
      <c r="D54" s="49">
        <v>4000</v>
      </c>
      <c r="E54" s="50">
        <v>44986</v>
      </c>
      <c r="F54" s="48">
        <v>275</v>
      </c>
      <c r="G54" s="51">
        <v>5.9999999999999998e-02</v>
      </c>
      <c r="H54" s="49">
        <v>0</v>
      </c>
      <c r="I54" s="48">
        <f t="shared" si="0"/>
        <v>0</v>
      </c>
      <c r="J54" s="48">
        <f t="shared" ref="J54:J61" si="15">I54/0.205195</f>
        <v>0</v>
      </c>
      <c r="K54" s="102">
        <v>52940</v>
      </c>
      <c r="L54" s="103">
        <f>N29</f>
        <v>-22888.25</v>
      </c>
      <c r="M54" s="48">
        <v>22888.25</v>
      </c>
      <c r="N54" s="104">
        <f>L54-I54-I55-I56+M54</f>
        <v>-10934</v>
      </c>
      <c r="O54" s="49">
        <f t="shared" ref="O54:O55" si="16">O34-H54</f>
        <v>0</v>
      </c>
      <c r="P54" s="54">
        <v>1</v>
      </c>
      <c r="Q54" s="46" t="s">
        <v>48</v>
      </c>
      <c r="R54" s="49">
        <f t="shared" ref="R54:R55" si="17">O34</f>
        <v>0</v>
      </c>
      <c r="S54" s="49">
        <f t="shared" si="6"/>
        <v>0</v>
      </c>
      <c r="T54" s="49">
        <f t="shared" si="7"/>
        <v>0</v>
      </c>
      <c r="U54" s="48">
        <f t="shared" ref="U54:U57" si="18">S54*G54*F54</f>
        <v>0</v>
      </c>
      <c r="V54" s="48"/>
      <c r="W54" s="48">
        <f t="shared" si="9"/>
        <v>0</v>
      </c>
      <c r="X54" s="48"/>
      <c r="Y54" s="48" t="s">
        <v>58</v>
      </c>
      <c r="Z54" s="56">
        <f t="shared" si="10"/>
        <v>0</v>
      </c>
      <c r="AA54" s="57">
        <f t="shared" si="11"/>
        <v>0</v>
      </c>
      <c r="AB54" s="56">
        <f t="shared" si="12"/>
        <v>0</v>
      </c>
      <c r="AC54" s="56">
        <f>+T54*275*0.06</f>
        <v>0</v>
      </c>
      <c r="AD54" s="56">
        <f t="shared" si="13"/>
        <v>0</v>
      </c>
    </row>
    <row r="55" s="1" customFormat="1">
      <c r="A55" s="1" t="s">
        <v>48</v>
      </c>
      <c r="B55" s="59">
        <v>9786161855550</v>
      </c>
      <c r="C55" s="60" t="s">
        <v>50</v>
      </c>
      <c r="D55" s="61">
        <v>800</v>
      </c>
      <c r="E55" s="62">
        <v>44986</v>
      </c>
      <c r="F55" s="60">
        <v>275</v>
      </c>
      <c r="G55" s="63">
        <v>7.0000000000000007e-02</v>
      </c>
      <c r="H55" s="61">
        <v>0</v>
      </c>
      <c r="I55" s="60">
        <f t="shared" si="0"/>
        <v>0</v>
      </c>
      <c r="J55" s="60">
        <f t="shared" si="15"/>
        <v>0</v>
      </c>
      <c r="K55" s="105" t="s">
        <v>29</v>
      </c>
      <c r="L55" s="60"/>
      <c r="M55" s="60"/>
      <c r="N55" s="106"/>
      <c r="O55" s="61">
        <f t="shared" si="16"/>
        <v>0</v>
      </c>
      <c r="P55" s="64">
        <v>1</v>
      </c>
      <c r="Q55" s="58" t="s">
        <v>48</v>
      </c>
      <c r="R55" s="61">
        <f t="shared" si="17"/>
        <v>0</v>
      </c>
      <c r="S55" s="61">
        <f t="shared" si="6"/>
        <v>0</v>
      </c>
      <c r="T55" s="61">
        <f t="shared" si="7"/>
        <v>0</v>
      </c>
      <c r="U55" s="60">
        <f t="shared" si="18"/>
        <v>0</v>
      </c>
      <c r="V55" s="60"/>
      <c r="W55" s="60">
        <f t="shared" si="9"/>
        <v>0</v>
      </c>
      <c r="X55" s="60"/>
      <c r="Y55" s="60" t="s">
        <v>58</v>
      </c>
      <c r="Z55" s="56">
        <f t="shared" si="10"/>
        <v>0</v>
      </c>
      <c r="AA55" s="57">
        <f t="shared" si="11"/>
        <v>0</v>
      </c>
      <c r="AB55" s="56">
        <f t="shared" si="12"/>
        <v>0</v>
      </c>
      <c r="AC55" s="56">
        <f t="shared" ref="AC55:AC57" si="19">+T55*275*0.07</f>
        <v>0</v>
      </c>
      <c r="AD55" s="56">
        <f t="shared" si="13"/>
        <v>0</v>
      </c>
    </row>
    <row r="56" s="1" customFormat="1">
      <c r="A56" s="1" t="s">
        <v>51</v>
      </c>
      <c r="B56" s="59">
        <v>9786161855550</v>
      </c>
      <c r="C56" s="60" t="s">
        <v>71</v>
      </c>
      <c r="D56" s="61">
        <v>2050</v>
      </c>
      <c r="E56" s="62">
        <v>45047</v>
      </c>
      <c r="F56" s="60">
        <v>275</v>
      </c>
      <c r="G56" s="63">
        <v>7.0000000000000007e-02</v>
      </c>
      <c r="H56" s="61">
        <v>568</v>
      </c>
      <c r="I56" s="60">
        <f t="shared" si="0"/>
        <v>10934.000000000002</v>
      </c>
      <c r="J56" s="60">
        <f t="shared" si="15"/>
        <v>53285.898779210031</v>
      </c>
      <c r="K56" s="107">
        <v>200000</v>
      </c>
      <c r="L56" s="60"/>
      <c r="M56" s="60"/>
      <c r="N56" s="106"/>
      <c r="O56" s="89">
        <f t="shared" ref="O56:O57" si="20">O31-H56</f>
        <v>514</v>
      </c>
      <c r="P56" s="64">
        <v>2</v>
      </c>
      <c r="Q56" s="58" t="s">
        <v>51</v>
      </c>
      <c r="R56" s="61">
        <f>+O31</f>
        <v>1082</v>
      </c>
      <c r="S56" s="61">
        <f t="shared" si="6"/>
        <v>568</v>
      </c>
      <c r="T56" s="61">
        <f t="shared" si="7"/>
        <v>514</v>
      </c>
      <c r="U56" s="60">
        <f t="shared" si="18"/>
        <v>10934.000000000002</v>
      </c>
      <c r="V56" s="60"/>
      <c r="W56" s="60">
        <f t="shared" si="9"/>
        <v>10934.000000000002</v>
      </c>
      <c r="X56" s="60">
        <v>22286.5</v>
      </c>
      <c r="Y56" s="60" t="s">
        <v>59</v>
      </c>
      <c r="Z56" s="56">
        <f t="shared" si="10"/>
        <v>20828.504672897194</v>
      </c>
      <c r="AA56" s="57">
        <f t="shared" si="11"/>
        <v>10587.119999999995</v>
      </c>
      <c r="AB56" s="56">
        <f t="shared" si="12"/>
        <v>9894.504672897192</v>
      </c>
      <c r="AC56" s="56">
        <f t="shared" si="19"/>
        <v>9894.5000000000018</v>
      </c>
      <c r="AD56" s="56">
        <f t="shared" si="13"/>
        <v>4.6728971901757177e-03</v>
      </c>
    </row>
    <row r="57" s="1" customFormat="1">
      <c r="A57" s="1" t="s">
        <v>52</v>
      </c>
      <c r="B57" s="59">
        <v>9786161855550</v>
      </c>
      <c r="C57" s="60"/>
      <c r="D57" s="61">
        <v>1300</v>
      </c>
      <c r="E57" s="62">
        <v>45170</v>
      </c>
      <c r="F57" s="60">
        <v>275</v>
      </c>
      <c r="G57" s="63">
        <v>7.0000000000000007e-02</v>
      </c>
      <c r="H57" s="61">
        <v>0</v>
      </c>
      <c r="I57" s="60">
        <f t="shared" si="0"/>
        <v>0</v>
      </c>
      <c r="J57" s="60">
        <f t="shared" si="15"/>
        <v>0</v>
      </c>
      <c r="K57" s="108" t="s">
        <v>30</v>
      </c>
      <c r="L57" s="60"/>
      <c r="M57" s="60"/>
      <c r="N57" s="106"/>
      <c r="O57" s="89">
        <f t="shared" si="20"/>
        <v>1300</v>
      </c>
      <c r="P57" s="64">
        <v>3</v>
      </c>
      <c r="Q57" s="58" t="s">
        <v>52</v>
      </c>
      <c r="R57" s="61">
        <f>+D57</f>
        <v>1300</v>
      </c>
      <c r="S57" s="61">
        <f t="shared" si="6"/>
        <v>0</v>
      </c>
      <c r="T57" s="61">
        <f t="shared" si="7"/>
        <v>1300</v>
      </c>
      <c r="U57" s="60">
        <f t="shared" si="18"/>
        <v>0</v>
      </c>
      <c r="V57" s="60"/>
      <c r="W57" s="60">
        <f t="shared" si="9"/>
        <v>0</v>
      </c>
      <c r="X57" s="90">
        <v>26776.75</v>
      </c>
      <c r="Y57" s="90" t="s">
        <v>60</v>
      </c>
      <c r="Z57" s="56">
        <f t="shared" si="10"/>
        <v>25025</v>
      </c>
      <c r="AA57" s="57">
        <f t="shared" si="11"/>
        <v>26776.75</v>
      </c>
      <c r="AB57" s="56">
        <f t="shared" si="12"/>
        <v>25025</v>
      </c>
      <c r="AC57" s="56">
        <f t="shared" si="19"/>
        <v>25025.000000000004</v>
      </c>
      <c r="AD57" s="56">
        <f t="shared" si="13"/>
        <v>0</v>
      </c>
    </row>
    <row r="58" s="1" customFormat="1">
      <c r="B58" s="59"/>
      <c r="C58" s="60"/>
      <c r="D58" s="61"/>
      <c r="E58" s="62"/>
      <c r="F58" s="60"/>
      <c r="G58" s="63"/>
      <c r="H58" s="60"/>
      <c r="I58" s="60"/>
      <c r="J58" s="60"/>
      <c r="K58" s="109" t="s">
        <v>53</v>
      </c>
      <c r="L58" s="60"/>
      <c r="M58" s="60"/>
      <c r="N58" s="106"/>
      <c r="O58" s="61"/>
      <c r="P58" s="64"/>
      <c r="Q58" s="58"/>
      <c r="R58" s="61"/>
      <c r="S58" s="61"/>
      <c r="T58" s="61"/>
      <c r="U58" s="60"/>
      <c r="V58" s="60"/>
      <c r="W58" s="60"/>
      <c r="X58" s="60"/>
      <c r="Y58" s="60"/>
    </row>
    <row r="59" s="1" customFormat="1">
      <c r="B59" s="110" t="s">
        <v>72</v>
      </c>
      <c r="C59" s="58" t="s">
        <v>54</v>
      </c>
      <c r="D59" s="61"/>
      <c r="E59" s="71"/>
      <c r="F59" s="60"/>
      <c r="G59" s="63"/>
      <c r="H59" s="58"/>
      <c r="I59" s="58"/>
      <c r="J59" s="58"/>
      <c r="K59" s="8"/>
      <c r="L59" s="58"/>
      <c r="M59" s="58"/>
      <c r="N59" s="111"/>
      <c r="O59" s="61"/>
      <c r="P59" s="64"/>
      <c r="Q59" s="58"/>
      <c r="R59" s="73"/>
      <c r="S59" s="73"/>
      <c r="T59" s="74"/>
      <c r="U59" s="73"/>
      <c r="V59" s="73"/>
      <c r="W59" s="58"/>
      <c r="X59" s="60"/>
      <c r="Y59" s="60"/>
    </row>
    <row r="60" s="1" customFormat="1">
      <c r="B60" s="112" t="s">
        <v>73</v>
      </c>
      <c r="C60" s="81" t="s">
        <v>55</v>
      </c>
      <c r="D60" s="77"/>
      <c r="E60" s="78"/>
      <c r="F60" s="79"/>
      <c r="G60" s="80"/>
      <c r="H60" s="81"/>
      <c r="I60" s="81"/>
      <c r="J60" s="81"/>
      <c r="K60" s="82"/>
      <c r="L60" s="81"/>
      <c r="M60" s="81"/>
      <c r="N60" s="113"/>
      <c r="O60" s="77"/>
      <c r="P60" s="82"/>
      <c r="Q60" s="81"/>
      <c r="R60" s="77"/>
      <c r="S60" s="77"/>
      <c r="T60" s="77"/>
      <c r="U60" s="79"/>
      <c r="V60" s="79"/>
      <c r="W60" s="79"/>
      <c r="X60" s="79"/>
      <c r="Y60" s="79"/>
    </row>
    <row r="61" s="1" customFormat="1">
      <c r="B61" s="47">
        <v>9786161856618</v>
      </c>
      <c r="C61" s="48" t="s">
        <v>49</v>
      </c>
      <c r="D61" s="49"/>
      <c r="E61" s="50">
        <v>44986</v>
      </c>
      <c r="G61" s="91">
        <v>0.25</v>
      </c>
      <c r="H61" s="49">
        <v>100</v>
      </c>
      <c r="I61" s="48">
        <v>2797.98</v>
      </c>
      <c r="J61" s="48">
        <f t="shared" si="15"/>
        <v>13635.712371159143</v>
      </c>
      <c r="K61" s="52"/>
      <c r="L61" s="114">
        <f>N36</f>
        <v>-3915.6900000000005</v>
      </c>
      <c r="M61" s="48">
        <v>3915.6900000000001</v>
      </c>
      <c r="N61" s="104">
        <f>L61-I61+M61</f>
        <v>-2797.98</v>
      </c>
      <c r="O61" s="49"/>
      <c r="P61" s="54"/>
      <c r="Q61" s="46" t="s">
        <v>61</v>
      </c>
      <c r="R61" s="49"/>
      <c r="S61" s="49">
        <f t="shared" si="6"/>
        <v>100</v>
      </c>
      <c r="T61" s="49"/>
      <c r="U61" s="48">
        <f>I61</f>
        <v>2797.98</v>
      </c>
      <c r="V61" s="48"/>
      <c r="W61" s="48">
        <f t="shared" si="9"/>
        <v>2797.98</v>
      </c>
      <c r="X61" s="48"/>
      <c r="Y61" s="48"/>
    </row>
    <row r="62" s="1" customFormat="1">
      <c r="B62" s="59"/>
      <c r="C62" s="60" t="s">
        <v>50</v>
      </c>
      <c r="D62" s="61"/>
      <c r="E62" s="62"/>
      <c r="G62" s="67" t="s">
        <v>62</v>
      </c>
      <c r="H62" s="60"/>
      <c r="I62" s="60"/>
      <c r="J62" s="60"/>
      <c r="K62" s="64"/>
      <c r="L62" s="60"/>
      <c r="M62" s="60"/>
      <c r="N62" s="106"/>
      <c r="O62" s="61"/>
      <c r="P62" s="64"/>
      <c r="Q62" s="58"/>
      <c r="R62" s="61"/>
      <c r="S62" s="61"/>
      <c r="T62" s="61"/>
      <c r="U62" s="60"/>
      <c r="V62" s="60"/>
      <c r="W62" s="60"/>
      <c r="X62" s="60"/>
      <c r="Y62" s="60"/>
    </row>
    <row r="63" s="1" customFormat="1">
      <c r="B63" s="59"/>
      <c r="C63" s="60" t="s">
        <v>74</v>
      </c>
      <c r="D63" s="61"/>
      <c r="E63" s="62"/>
      <c r="G63" s="67"/>
      <c r="H63" s="60"/>
      <c r="I63" s="60"/>
      <c r="J63" s="60"/>
      <c r="K63" s="67"/>
      <c r="L63" s="60"/>
      <c r="M63" s="60"/>
      <c r="N63" s="65"/>
      <c r="O63" s="61"/>
      <c r="P63" s="64"/>
      <c r="Q63" s="58"/>
      <c r="R63" s="61"/>
      <c r="S63" s="61"/>
      <c r="T63" s="61"/>
      <c r="U63" s="60"/>
      <c r="V63" s="60"/>
      <c r="W63" s="60"/>
      <c r="X63" s="60"/>
      <c r="Y63" s="60"/>
    </row>
    <row r="64" s="1" customFormat="1">
      <c r="B64" s="110" t="s">
        <v>72</v>
      </c>
      <c r="C64" s="60"/>
      <c r="D64" s="61"/>
      <c r="E64" s="62"/>
      <c r="F64" s="67"/>
      <c r="G64" s="63"/>
      <c r="H64" s="60"/>
      <c r="I64" s="60"/>
      <c r="J64" s="60"/>
      <c r="K64" s="68"/>
      <c r="L64" s="60"/>
      <c r="M64" s="60"/>
      <c r="N64" s="65"/>
      <c r="O64" s="61"/>
      <c r="P64" s="64"/>
      <c r="Q64" s="58"/>
      <c r="R64" s="61"/>
      <c r="S64" s="61"/>
      <c r="T64" s="61"/>
      <c r="U64" s="60"/>
      <c r="V64" s="60"/>
      <c r="W64" s="60"/>
      <c r="X64" s="60"/>
      <c r="Y64" s="60"/>
    </row>
    <row r="65" s="1" customFormat="1">
      <c r="B65" s="112" t="s">
        <v>73</v>
      </c>
      <c r="C65" s="81"/>
      <c r="D65" s="77"/>
      <c r="E65" s="78"/>
      <c r="F65" s="93"/>
      <c r="G65" s="80"/>
      <c r="H65" s="81"/>
      <c r="I65" s="81"/>
      <c r="J65" s="81"/>
      <c r="K65" s="82"/>
      <c r="L65" s="81"/>
      <c r="M65" s="81"/>
      <c r="N65" s="83"/>
      <c r="O65" s="77"/>
      <c r="P65" s="82"/>
      <c r="Q65" s="81"/>
      <c r="R65" s="77"/>
      <c r="S65" s="77"/>
      <c r="T65" s="77"/>
      <c r="U65" s="79"/>
      <c r="V65" s="79"/>
      <c r="W65" s="79"/>
      <c r="X65" s="79"/>
      <c r="Y65" s="79"/>
    </row>
    <row r="66" s="7" customFormat="1" ht="22.5">
      <c r="B66" s="84"/>
      <c r="C66" s="7"/>
      <c r="D66" s="85"/>
      <c r="F66" s="115"/>
      <c r="G66" s="87" t="s">
        <v>75</v>
      </c>
      <c r="H66" s="7"/>
      <c r="I66" s="7"/>
      <c r="J66" s="7"/>
      <c r="K66" s="45"/>
      <c r="L66" s="7"/>
      <c r="M66" s="7"/>
      <c r="N66" s="7"/>
      <c r="O66" s="7"/>
      <c r="P66" s="45"/>
      <c r="R66" s="85"/>
      <c r="S66" s="85"/>
      <c r="T66" s="85"/>
    </row>
    <row r="69" ht="18">
      <c r="D69" s="116"/>
    </row>
    <row r="72">
      <c r="F72" s="5"/>
    </row>
    <row r="77">
      <c r="F77" s="5"/>
    </row>
    <row r="82">
      <c r="F82" s="5"/>
    </row>
    <row r="85">
      <c r="F85" s="117"/>
    </row>
    <row r="87">
      <c r="F87" s="5"/>
    </row>
    <row r="88">
      <c r="F88" s="117"/>
    </row>
    <row r="89">
      <c r="D89" s="117"/>
    </row>
    <row r="90">
      <c r="F90" s="117"/>
    </row>
    <row r="91">
      <c r="F91" s="118"/>
    </row>
    <row r="92">
      <c r="F92" s="5"/>
    </row>
    <row r="93">
      <c r="F93" s="117"/>
    </row>
    <row r="95">
      <c r="C95" s="119"/>
      <c r="E95" s="120"/>
    </row>
    <row r="104" s="121" customFormat="1" ht="15.75">
      <c r="F104" s="122"/>
      <c r="G104" s="123"/>
      <c r="H104" s="121"/>
      <c r="I104" s="121"/>
      <c r="J104" s="121"/>
      <c r="K104" s="121"/>
    </row>
    <row r="105" s="121" customFormat="1" ht="15.75">
      <c r="B105" s="124"/>
      <c r="C105" s="125"/>
      <c r="D105" s="121"/>
      <c r="E105" s="121"/>
      <c r="F105" s="122"/>
      <c r="G105" s="123"/>
      <c r="H105" s="121"/>
      <c r="I105" s="121"/>
      <c r="J105" s="121"/>
      <c r="K105" s="121"/>
    </row>
    <row r="106" s="121" customFormat="1" ht="15.75">
      <c r="B106" s="121"/>
      <c r="C106" s="126"/>
      <c r="D106" s="121"/>
      <c r="E106" s="121"/>
      <c r="F106" s="122"/>
      <c r="G106" s="123"/>
      <c r="H106" s="121"/>
      <c r="I106" s="121"/>
      <c r="J106" s="121"/>
      <c r="K106" s="121"/>
    </row>
    <row r="107" s="7" customFormat="1" ht="15.75">
      <c r="B107" s="121"/>
      <c r="C107" s="121"/>
      <c r="D107" s="121"/>
      <c r="E107" s="121"/>
      <c r="F107" s="86"/>
      <c r="G107" s="45"/>
      <c r="H107" s="7"/>
      <c r="I107" s="7"/>
      <c r="J107" s="7"/>
      <c r="K107" s="7"/>
    </row>
    <row r="108" s="7" customFormat="1" ht="15.75">
      <c r="B108" s="127"/>
      <c r="C108" s="126"/>
      <c r="D108" s="7"/>
      <c r="E108" s="7"/>
      <c r="F108" s="86"/>
      <c r="G108" s="45"/>
      <c r="H108" s="7"/>
      <c r="I108" s="7"/>
      <c r="J108" s="7"/>
      <c r="K108" s="7"/>
    </row>
    <row r="109" s="7" customFormat="1" ht="15.75">
      <c r="B109" s="127"/>
      <c r="C109" s="126"/>
      <c r="D109" s="128"/>
      <c r="E109" s="7"/>
      <c r="F109" s="86"/>
      <c r="G109" s="45"/>
      <c r="H109" s="7"/>
      <c r="I109" s="7"/>
      <c r="J109" s="7"/>
      <c r="K109" s="7"/>
    </row>
    <row r="110" s="7" customFormat="1" ht="15.75">
      <c r="B110" s="121"/>
      <c r="C110" s="121"/>
      <c r="D110" s="7"/>
      <c r="E110" s="7"/>
      <c r="F110" s="86"/>
      <c r="G110" s="45"/>
      <c r="H110" s="7"/>
      <c r="I110" s="7"/>
      <c r="J110" s="7"/>
      <c r="K110" s="7"/>
    </row>
    <row r="111" s="7" customFormat="1" ht="15.75">
      <c r="B111" s="129"/>
      <c r="C111" s="126"/>
      <c r="D111" s="7"/>
      <c r="E111" s="7"/>
      <c r="F111" s="86"/>
      <c r="G111" s="45"/>
      <c r="H111" s="7"/>
      <c r="I111" s="7"/>
      <c r="J111" s="7"/>
      <c r="K111" s="7"/>
    </row>
    <row r="112" s="7" customFormat="1" ht="15.75">
      <c r="B112" s="121"/>
      <c r="C112" s="126"/>
      <c r="D112" s="7"/>
      <c r="E112" s="7"/>
      <c r="F112" s="86"/>
      <c r="G112" s="45"/>
      <c r="H112" s="7"/>
      <c r="I112" s="7"/>
      <c r="J112" s="7"/>
      <c r="K112" s="7"/>
    </row>
    <row r="113" s="7" customFormat="1" ht="15.75">
      <c r="B113" s="121"/>
      <c r="C113" s="121"/>
      <c r="D113" s="7"/>
      <c r="E113" s="7"/>
      <c r="F113" s="86"/>
      <c r="G113" s="45"/>
      <c r="H113" s="7"/>
      <c r="I113" s="7"/>
      <c r="J113" s="7"/>
      <c r="K113" s="7"/>
    </row>
    <row r="114" s="7" customFormat="1" ht="15.75">
      <c r="B114" s="127"/>
      <c r="C114" s="126"/>
      <c r="D114" s="7"/>
      <c r="E114" s="128"/>
      <c r="F114" s="86"/>
      <c r="G114" s="45"/>
      <c r="H114" s="7"/>
      <c r="I114" s="7"/>
      <c r="J114" s="7"/>
      <c r="K114" s="7"/>
    </row>
    <row r="115" s="7" customFormat="1" ht="15.75">
      <c r="B115" s="121"/>
      <c r="C115" s="126"/>
      <c r="D115" s="7"/>
      <c r="E115" s="7"/>
      <c r="F115" s="86"/>
      <c r="G115" s="45"/>
      <c r="H115" s="7"/>
      <c r="I115" s="7"/>
      <c r="J115" s="7"/>
      <c r="K115" s="7"/>
    </row>
    <row r="116" s="7" customFormat="1" ht="15.75">
      <c r="B116" s="121"/>
      <c r="C116" s="121"/>
      <c r="D116" s="7"/>
      <c r="E116" s="7"/>
      <c r="F116" s="86"/>
      <c r="G116" s="45"/>
      <c r="H116" s="7"/>
      <c r="I116" s="7"/>
      <c r="J116" s="7"/>
      <c r="K116" s="7"/>
    </row>
    <row r="117" s="7" customFormat="1" ht="15.75">
      <c r="B117" s="127"/>
      <c r="C117" s="126"/>
      <c r="D117" s="7"/>
      <c r="E117" s="7"/>
      <c r="F117" s="86"/>
      <c r="G117" s="45"/>
      <c r="H117" s="7"/>
      <c r="I117" s="7"/>
      <c r="J117" s="7"/>
      <c r="K117" s="7"/>
    </row>
    <row r="118" s="7" customFormat="1" ht="15.75">
      <c r="B118" s="121"/>
      <c r="C118" s="130"/>
      <c r="D118" s="7"/>
      <c r="E118" s="7"/>
      <c r="F118" s="86"/>
      <c r="G118" s="45"/>
    </row>
    <row r="119" s="7" customFormat="1">
      <c r="B119" s="7"/>
      <c r="C119" s="7"/>
      <c r="F119" s="86"/>
      <c r="G119" s="45"/>
    </row>
    <row r="120" s="7" customFormat="1" ht="15.75">
      <c r="B120" s="7"/>
      <c r="C120" s="126"/>
      <c r="F120" s="86"/>
      <c r="G120" s="45"/>
    </row>
    <row r="121" s="7" customFormat="1">
      <c r="B121" s="7"/>
      <c r="C121" s="130"/>
      <c r="F121" s="86"/>
      <c r="G121" s="45"/>
    </row>
    <row r="122" s="7" customFormat="1">
      <c r="F122" s="86"/>
      <c r="G122" s="45"/>
    </row>
    <row r="123" s="7" customFormat="1" ht="15.75">
      <c r="B123" s="7"/>
      <c r="C123" s="126"/>
      <c r="F123" s="86"/>
      <c r="G123" s="45"/>
    </row>
    <row r="124" s="7" customFormat="1">
      <c r="C124" s="130"/>
      <c r="F124" s="86"/>
      <c r="G124" s="45"/>
    </row>
    <row r="125" s="7" customFormat="1">
      <c r="F125" s="86"/>
      <c r="G125" s="45"/>
    </row>
    <row r="126" s="7" customFormat="1">
      <c r="B126" s="7"/>
      <c r="C126" s="130"/>
      <c r="F126" s="86"/>
      <c r="G126" s="45"/>
    </row>
    <row r="127" s="7" customFormat="1">
      <c r="C127" s="7"/>
      <c r="F127" s="86"/>
      <c r="G127" s="45"/>
    </row>
    <row r="128" s="7" customFormat="1">
      <c r="C128" s="7"/>
      <c r="F128" s="86"/>
      <c r="G128" s="45"/>
    </row>
    <row r="129" s="7" customFormat="1">
      <c r="C129" s="7"/>
      <c r="F129" s="86"/>
      <c r="G129" s="45"/>
    </row>
    <row r="130" s="7" customFormat="1">
      <c r="F130" s="86"/>
      <c r="G130" s="45"/>
    </row>
    <row r="131" s="7" customFormat="1">
      <c r="B131" s="7"/>
      <c r="C131" s="130"/>
      <c r="F131" s="86"/>
      <c r="G131" s="45"/>
    </row>
    <row r="132" s="7" customFormat="1">
      <c r="C132" s="7"/>
      <c r="F132" s="86"/>
      <c r="G132" s="45"/>
    </row>
    <row r="133" s="7" customFormat="1">
      <c r="C133" s="7"/>
      <c r="F133" s="86"/>
      <c r="G133" s="45"/>
    </row>
    <row r="134">
      <c r="B134" s="7"/>
      <c r="C134" s="7"/>
      <c r="D134" s="7"/>
      <c r="E134" s="7"/>
    </row>
    <row r="136">
      <c r="B136" s="2"/>
      <c r="C136" s="131"/>
    </row>
    <row r="137">
      <c r="C137" s="1"/>
    </row>
    <row r="138">
      <c r="C138" s="1"/>
    </row>
  </sheetData>
  <mergeCells count="18">
    <mergeCell ref="C1:O1"/>
    <mergeCell ref="C2:O2"/>
    <mergeCell ref="C3:O3"/>
    <mergeCell ref="C4:O4"/>
    <mergeCell ref="C5:O5"/>
    <mergeCell ref="C6:O6"/>
    <mergeCell ref="C19:O19"/>
    <mergeCell ref="C20:O20"/>
    <mergeCell ref="C21:O21"/>
    <mergeCell ref="C22:O22"/>
    <mergeCell ref="C23:O23"/>
    <mergeCell ref="C24:O24"/>
    <mergeCell ref="C42:O42"/>
    <mergeCell ref="C43:O43"/>
    <mergeCell ref="C44:O44"/>
    <mergeCell ref="C45:O45"/>
    <mergeCell ref="C46:O46"/>
    <mergeCell ref="C47:O47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chonnikan</dc:creator>
  <cp:revision>1</cp:revision>
  <dcterms:created xsi:type="dcterms:W3CDTF">2026-04-19T16:01:15Z</dcterms:created>
  <dcterms:modified xsi:type="dcterms:W3CDTF">2026-06-19T03:40:58Z</dcterms:modified>
</cp:coreProperties>
</file>